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C:\Users\yetkinPC\Desktop\makro\"/>
    </mc:Choice>
  </mc:AlternateContent>
  <bookViews>
    <workbookView xWindow="0" yWindow="0" windowWidth="21576" windowHeight="7932"/>
  </bookViews>
  <sheets>
    <sheet name="Sayfa1" sheetId="1" r:id="rId1"/>
  </sheets>
  <definedNames>
    <definedName name="_xlnm._FilterDatabase" localSheetId="0" hidden="1">Sayfa1!$A$1:$H$618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93" i="1" l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F17" i="1"/>
  <c r="H17" i="1" s="1"/>
  <c r="H18" i="1"/>
  <c r="F19" i="1"/>
  <c r="H19" i="1" s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F384" i="1"/>
  <c r="H384" i="1" s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</calcChain>
</file>

<file path=xl/sharedStrings.xml><?xml version="1.0" encoding="utf-8"?>
<sst xmlns="http://schemas.openxmlformats.org/spreadsheetml/2006/main" count="1692" uniqueCount="175">
  <si>
    <t>BARBUN</t>
  </si>
  <si>
    <t>CİMCİM</t>
  </si>
  <si>
    <t>ÇİPURA</t>
  </si>
  <si>
    <t>ÇİRÖZ</t>
  </si>
  <si>
    <t>DİL</t>
  </si>
  <si>
    <t>DÜLGER</t>
  </si>
  <si>
    <t>FENER</t>
  </si>
  <si>
    <t>GRANYÜZ</t>
  </si>
  <si>
    <t>İSKORPİT</t>
  </si>
  <si>
    <t>KALAMAR</t>
  </si>
  <si>
    <t>KARİDES</t>
  </si>
  <si>
    <t>KILIC</t>
  </si>
  <si>
    <t>KIRLANGIÇ</t>
  </si>
  <si>
    <t>KOFANA</t>
  </si>
  <si>
    <t>LAHOS</t>
  </si>
  <si>
    <t>LEVREK</t>
  </si>
  <si>
    <t>LÜFER</t>
  </si>
  <si>
    <t>MEZGİT</t>
  </si>
  <si>
    <t>PEYGAMBER</t>
  </si>
  <si>
    <t>SARDALYE</t>
  </si>
  <si>
    <t>SİNARİT</t>
  </si>
  <si>
    <t>SOMON</t>
  </si>
  <si>
    <t>SOMON FÜME</t>
  </si>
  <si>
    <t>SÜBYE</t>
  </si>
  <si>
    <t>TEKİR</t>
  </si>
  <si>
    <t>TORİK</t>
  </si>
  <si>
    <t>TRANÇA</t>
  </si>
  <si>
    <t>Y.ORKİNOZ</t>
  </si>
  <si>
    <t>YAZILI</t>
  </si>
  <si>
    <t>BNM202543</t>
  </si>
  <si>
    <t>İZTORG</t>
  </si>
  <si>
    <t>BNM202544</t>
  </si>
  <si>
    <t>BNM202545</t>
  </si>
  <si>
    <t>BNM202546</t>
  </si>
  <si>
    <t>BNM202547</t>
  </si>
  <si>
    <t>BNM202548</t>
  </si>
  <si>
    <t>BNM202549</t>
  </si>
  <si>
    <t>BNM202550</t>
  </si>
  <si>
    <t>BNM202551</t>
  </si>
  <si>
    <t>BNM202552</t>
  </si>
  <si>
    <t>BNM202553</t>
  </si>
  <si>
    <t>BNM202554</t>
  </si>
  <si>
    <t>BNM202555</t>
  </si>
  <si>
    <t>BNM202556</t>
  </si>
  <si>
    <t>BNM202557</t>
  </si>
  <si>
    <t>MSC2025913</t>
  </si>
  <si>
    <t>MEHMET ŞAHİN ÇAKAN BAL.LTD.ŞTİ.</t>
  </si>
  <si>
    <t>MERCAN</t>
  </si>
  <si>
    <t>BNM202558</t>
  </si>
  <si>
    <t>MSC2025915</t>
  </si>
  <si>
    <t>KRS2025183</t>
  </si>
  <si>
    <t>KARASU BAL.LTD.ŞTİ.</t>
  </si>
  <si>
    <t>KRS2025199</t>
  </si>
  <si>
    <t>BNM202559</t>
  </si>
  <si>
    <t>MSC2025931</t>
  </si>
  <si>
    <t>HAMSİ</t>
  </si>
  <si>
    <t>BNM202560</t>
  </si>
  <si>
    <t>MSC2025943</t>
  </si>
  <si>
    <t>BLK202578</t>
  </si>
  <si>
    <t>MHM2025110</t>
  </si>
  <si>
    <t>ERMA REİS LTD.ŞTİ.</t>
  </si>
  <si>
    <t>MHM2025114</t>
  </si>
  <si>
    <t>BNM202561</t>
  </si>
  <si>
    <t>BNM202562</t>
  </si>
  <si>
    <t>MSC2025964</t>
  </si>
  <si>
    <t>MEHMET ŞAHİN BAL.LTD.ŞTİ.</t>
  </si>
  <si>
    <t>KRS2025214</t>
  </si>
  <si>
    <t>BNM202563</t>
  </si>
  <si>
    <t>MSC2025978</t>
  </si>
  <si>
    <t>BNM202564</t>
  </si>
  <si>
    <t>MSC2025986</t>
  </si>
  <si>
    <t>MSC2025994</t>
  </si>
  <si>
    <t>BNM202565</t>
  </si>
  <si>
    <t>BNM202566</t>
  </si>
  <si>
    <t>AHTAPOT</t>
  </si>
  <si>
    <t>MSC202538</t>
  </si>
  <si>
    <t>ŞB ŞAHİN BALIKÇILIK A.Ş.</t>
  </si>
  <si>
    <t>MDC20251011</t>
  </si>
  <si>
    <t>BNM202567</t>
  </si>
  <si>
    <t>MSC20251022</t>
  </si>
  <si>
    <t>MSC20251035</t>
  </si>
  <si>
    <t>BNM202568</t>
  </si>
  <si>
    <t>BNM202569</t>
  </si>
  <si>
    <t>BNM202570</t>
  </si>
  <si>
    <t>KARIŞIK</t>
  </si>
  <si>
    <t>MSC202540</t>
  </si>
  <si>
    <t>IZM2025157</t>
  </si>
  <si>
    <t>KAFKAS SU ÜR.LTD.ŞTİ.</t>
  </si>
  <si>
    <t>MSC202541</t>
  </si>
  <si>
    <t>BNM202571</t>
  </si>
  <si>
    <t>MSC20251088</t>
  </si>
  <si>
    <t>BNM202572</t>
  </si>
  <si>
    <t>MSC20251092</t>
  </si>
  <si>
    <t>BNM202573</t>
  </si>
  <si>
    <t>BNM202574</t>
  </si>
  <si>
    <t>BNM202575</t>
  </si>
  <si>
    <t>BNM202576</t>
  </si>
  <si>
    <t>MSC202544</t>
  </si>
  <si>
    <t>BNM202677</t>
  </si>
  <si>
    <t>BNM202578</t>
  </si>
  <si>
    <t>BNM202579</t>
  </si>
  <si>
    <t>BNM202580</t>
  </si>
  <si>
    <t>MSC202547</t>
  </si>
  <si>
    <t>BNM202581</t>
  </si>
  <si>
    <t>BNM202582</t>
  </si>
  <si>
    <t>BNM202583</t>
  </si>
  <si>
    <t>IZM2025173</t>
  </si>
  <si>
    <t>BNM202584</t>
  </si>
  <si>
    <t>BNM202585</t>
  </si>
  <si>
    <t>BNM202586</t>
  </si>
  <si>
    <t>MSC202556</t>
  </si>
  <si>
    <t>BNM202587</t>
  </si>
  <si>
    <t>BNM202588</t>
  </si>
  <si>
    <t>BNM202589</t>
  </si>
  <si>
    <t>BNM202590</t>
  </si>
  <si>
    <t>BLK202593</t>
  </si>
  <si>
    <t>BNM202591</t>
  </si>
  <si>
    <t>MSC202558</t>
  </si>
  <si>
    <t>MSC20251191</t>
  </si>
  <si>
    <t>BLK202594</t>
  </si>
  <si>
    <t>BNM202592</t>
  </si>
  <si>
    <t>BNM202593</t>
  </si>
  <si>
    <t>BNM202594</t>
  </si>
  <si>
    <t>MHM2025177</t>
  </si>
  <si>
    <t>ERMA REİS BALIKÇILIK LTD.ŞTİ.</t>
  </si>
  <si>
    <t>BNM202595</t>
  </si>
  <si>
    <t>MHM2025185</t>
  </si>
  <si>
    <t>BNM202596</t>
  </si>
  <si>
    <t>BNM202597</t>
  </si>
  <si>
    <t>MSC20251217</t>
  </si>
  <si>
    <t>BNM202598</t>
  </si>
  <si>
    <t>MSC20251219</t>
  </si>
  <si>
    <t>MSC202562</t>
  </si>
  <si>
    <t>BNM202599</t>
  </si>
  <si>
    <t>BNM2025100</t>
  </si>
  <si>
    <t>MSC202564</t>
  </si>
  <si>
    <t>BNM2025101</t>
  </si>
  <si>
    <t>BNM2025102</t>
  </si>
  <si>
    <t>BNM2025103</t>
  </si>
  <si>
    <t>BNM2025104</t>
  </si>
  <si>
    <t>BNM2025105</t>
  </si>
  <si>
    <t>MSC202574</t>
  </si>
  <si>
    <t>BNM2025106</t>
  </si>
  <si>
    <t>BNM2025107</t>
  </si>
  <si>
    <t>BNM2025108</t>
  </si>
  <si>
    <t>BNM2025109</t>
  </si>
  <si>
    <t>BNM2025110</t>
  </si>
  <si>
    <t>SOĞUK HAVA</t>
  </si>
  <si>
    <t>MSC202579</t>
  </si>
  <si>
    <t>BNM2025111</t>
  </si>
  <si>
    <t>MSC202581</t>
  </si>
  <si>
    <t>BNM2025112</t>
  </si>
  <si>
    <t>BNM2025113</t>
  </si>
  <si>
    <t>BNM2025114</t>
  </si>
  <si>
    <t>BNM2025115</t>
  </si>
  <si>
    <t>BNM2025116</t>
  </si>
  <si>
    <t>BNM2025117</t>
  </si>
  <si>
    <t>BNM2025118</t>
  </si>
  <si>
    <t>MSC202586</t>
  </si>
  <si>
    <t>BNM2025119</t>
  </si>
  <si>
    <t>MSC202588</t>
  </si>
  <si>
    <t>BNM2025120</t>
  </si>
  <si>
    <t>BNM2025121</t>
  </si>
  <si>
    <t>BNM2025122</t>
  </si>
  <si>
    <t>Devir</t>
  </si>
  <si>
    <t>ŞUBAT</t>
  </si>
  <si>
    <t>Bilinmeyen SATIŞ</t>
  </si>
  <si>
    <t>KG</t>
  </si>
  <si>
    <t>Firma</t>
  </si>
  <si>
    <t>Fiyat</t>
  </si>
  <si>
    <t>Tutar</t>
  </si>
  <si>
    <t>Tarih</t>
  </si>
  <si>
    <t>Fatura No</t>
  </si>
  <si>
    <t>Tür</t>
  </si>
  <si>
    <t>Kasa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</si>
</sst>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charset val="162"/>
      <scheme val="minor"/>
    </font>
    <font>
      <sz val="8.75"/>
      <color theme="1"/>
      <name val="Calibri"/>
      <family val="2"/>
      <charset val="162"/>
      <scheme val="minor"/>
    </font>
    <font>
      <b/>
      <sz val="8.75"/>
      <color theme="1"/>
      <name val="Calibri"/>
      <family val="2"/>
      <charset val="162"/>
      <scheme val="minor"/>
    </font>
    <font>
      <sz val="9"/>
      <color theme="1"/>
      <name val="Calibri"/>
      <family val="2"/>
      <charset val="162"/>
      <scheme val="minor"/>
    </font>
    <font>
      <sz val="8.9499999999999993"/>
      <color theme="1"/>
      <name val="Calibri"/>
      <family val="2"/>
      <charset val="162"/>
      <scheme val="minor"/>
    </font>
    <font>
      <sz val="8.75"/>
      <name val="Calibri"/>
      <family val="2"/>
      <charset val="162"/>
      <scheme val="minor"/>
    </font>
    <font>
      <sz val="9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8" fillId="0" borderId="0"/>
  </cellStyleXfs>
  <cellXfs count="47">
    <xf numFmtId="0" fontId="0" fillId="0" borderId="0" xfId="0"/>
    <xf numFmtId="0" fontId="1" fillId="0" borderId="0" xfId="0" applyFont="1" applyFill="1"/>
    <xf numFmtId="4" fontId="1" fillId="0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 vertical="center"/>
    </xf>
    <xf numFmtId="4" fontId="1" fillId="0" borderId="0" xfId="0" applyNumberFormat="1" applyFont="1" applyFill="1" applyBorder="1" applyAlignment="1">
      <alignment vertical="center"/>
    </xf>
    <xf numFmtId="0" fontId="5" fillId="0" borderId="0" xfId="0" applyFont="1" applyFill="1" applyBorder="1" applyAlignment="1">
      <alignment horizontal="left"/>
    </xf>
    <xf numFmtId="4" fontId="5" fillId="0" borderId="0" xfId="0" applyNumberFormat="1" applyFont="1" applyFill="1" applyBorder="1" applyAlignment="1">
      <alignment horizontal="right"/>
    </xf>
    <xf numFmtId="4" fontId="3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left"/>
    </xf>
    <xf numFmtId="4" fontId="1" fillId="0" borderId="0" xfId="0" applyNumberFormat="1" applyFont="1" applyFill="1" applyBorder="1" applyAlignment="1">
      <alignment horizontal="center"/>
    </xf>
    <xf numFmtId="4" fontId="3" fillId="0" borderId="0" xfId="0" applyNumberFormat="1" applyFont="1" applyFill="1" applyBorder="1"/>
    <xf numFmtId="4" fontId="3" fillId="0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/>
    </xf>
    <xf numFmtId="4" fontId="6" fillId="0" borderId="0" xfId="0" applyNumberFormat="1" applyFont="1" applyFill="1" applyBorder="1" applyAlignment="1">
      <alignment horizontal="right"/>
    </xf>
    <xf numFmtId="4" fontId="5" fillId="2" borderId="0" xfId="0" applyNumberFormat="1" applyFont="1" applyFill="1" applyBorder="1" applyAlignment="1">
      <alignment horizontal="right"/>
    </xf>
    <xf numFmtId="4" fontId="5" fillId="0" borderId="0" xfId="0" applyNumberFormat="1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1" fillId="0" borderId="0" xfId="0" applyFont="1" applyFill="1" applyAlignment="1">
      <alignment horizontal="center" vertical="center"/>
    </xf>
    <xf numFmtId="2" fontId="3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4" fontId="2" fillId="0" borderId="2" xfId="0" applyNumberFormat="1" applyFont="1" applyFill="1" applyBorder="1" applyAlignment="1">
      <alignment horizontal="center" vertical="center"/>
    </xf>
    <xf numFmtId="4" fontId="2" fillId="0" borderId="3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/>
    </xf>
    <xf numFmtId="0" fontId="1" fillId="0" borderId="5" xfId="0" applyFont="1" applyFill="1" applyBorder="1"/>
    <xf numFmtId="0" fontId="4" fillId="0" borderId="0" xfId="0" applyFont="1" applyFill="1" applyBorder="1" applyAlignment="1">
      <alignment horizontal="left"/>
    </xf>
    <xf numFmtId="4" fontId="4" fillId="0" borderId="0" xfId="0" applyNumberFormat="1" applyFont="1" applyFill="1" applyBorder="1" applyAlignment="1">
      <alignment horizontal="center"/>
    </xf>
    <xf numFmtId="4" fontId="4" fillId="0" borderId="0" xfId="0" applyNumberFormat="1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2" fontId="1" fillId="0" borderId="0" xfId="0" applyNumberFormat="1" applyFont="1" applyFill="1" applyBorder="1"/>
    <xf numFmtId="0" fontId="3" fillId="0" borderId="0" xfId="0" applyFont="1" applyFill="1" applyBorder="1"/>
    <xf numFmtId="4" fontId="3" fillId="0" borderId="0" xfId="0" applyNumberFormat="1" applyFont="1" applyFill="1" applyBorder="1" applyAlignment="1">
      <alignment horizontal="left"/>
    </xf>
    <xf numFmtId="0" fontId="7" fillId="0" borderId="0" xfId="0" applyFont="1" applyFill="1" applyBorder="1" applyAlignment="1">
      <alignment horizontal="center"/>
    </xf>
    <xf numFmtId="4" fontId="1" fillId="2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14" fontId="3" fillId="0" borderId="4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right"/>
    </xf>
    <xf numFmtId="0" fontId="1" fillId="0" borderId="0" xfId="0" applyFont="1" applyFill="1" applyBorder="1"/>
    <xf numFmtId="0" fontId="0" fillId="0" borderId="5" xfId="0" applyBorder="1"/>
    <xf numFmtId="0" fontId="1" fillId="0" borderId="0" xfId="0" applyNumberFormat="1" applyFont="1" applyFill="1" applyBorder="1"/>
    <xf numFmtId="14" fontId="5" fillId="0" borderId="4" xfId="0" applyNumberFormat="1" applyFont="1" applyFill="1" applyBorder="1" applyAlignment="1">
      <alignment horizontal="center"/>
    </xf>
    <xf numFmtId="0" fontId="1" fillId="0" borderId="4" xfId="0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533400</xdr:colOff>
          <xdr:row>4</xdr:row>
          <xdr:rowOff>144780</xdr:rowOff>
        </xdr:from>
        <xdr:to>
          <xdr:col>11</xdr:col>
          <xdr:colOff>502920</xdr:colOff>
          <xdr:row>6</xdr:row>
          <xdr:rowOff>60960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Düğme 16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 filterMode="1"/>
  <dimension ref="A1:O718"/>
  <sheetViews>
    <sheetView tabSelected="1" zoomScaleNormal="100" workbookViewId="0">
      <selection activeCell="K11" sqref="K11"/>
    </sheetView>
  </sheetViews>
  <sheetFormatPr defaultColWidth="9.109375" defaultRowHeight="12" x14ac:dyDescent="0.25"/>
  <cols>
    <col min="1" max="1" width="9.33203125" style="46" customWidth="1"/>
    <col min="2" max="2" width="11.109375" style="3" customWidth="1"/>
    <col min="3" max="3" width="41.5546875" style="42" bestFit="1" customWidth="1"/>
    <col min="4" max="4" width="11.44140625" style="32" customWidth="1"/>
    <col min="5" max="5" width="8.33203125" style="10" customWidth="1"/>
    <col min="6" max="6" width="8.33203125" style="2" customWidth="1"/>
    <col min="7" max="7" width="9.109375" style="13"/>
    <col min="8" max="8" width="10.109375" style="13" customWidth="1"/>
    <col min="9" max="9" width="9.109375" style="28"/>
    <col min="10" max="16384" width="9.109375" style="1"/>
  </cols>
  <sheetData>
    <row r="1" spans="1:9" s="21" customFormat="1" ht="12.75" customHeight="1" x14ac:dyDescent="0.3">
      <c r="A1" s="23" t="s">
        <v>171</v>
      </c>
      <c r="B1" s="24" t="s">
        <v>172</v>
      </c>
      <c r="C1" s="24" t="s">
        <v>168</v>
      </c>
      <c r="D1" s="24" t="s">
        <v>173</v>
      </c>
      <c r="E1" s="25" t="s">
        <v>174</v>
      </c>
      <c r="F1" s="25" t="s">
        <v>167</v>
      </c>
      <c r="G1" s="25" t="s">
        <v>169</v>
      </c>
      <c r="H1" s="25" t="s">
        <v>170</v>
      </c>
      <c r="I1" s="26" t="s">
        <v>164</v>
      </c>
    </row>
    <row r="2" spans="1:9" ht="12" customHeight="1" x14ac:dyDescent="0.25">
      <c r="A2" s="27">
        <v>45717</v>
      </c>
      <c r="C2" s="4" t="s">
        <v>166</v>
      </c>
      <c r="D2" s="32" t="s">
        <v>0</v>
      </c>
      <c r="F2" s="2">
        <v>16.399999999999999</v>
      </c>
      <c r="G2" s="33">
        <v>200</v>
      </c>
      <c r="H2" s="5">
        <f t="shared" ref="H2:H7" si="0">(E2*G2)+(F2*G2)</f>
        <v>3279.9999999999995</v>
      </c>
      <c r="I2" s="28" t="s">
        <v>165</v>
      </c>
    </row>
    <row r="3" spans="1:9" ht="12" customHeight="1" x14ac:dyDescent="0.25">
      <c r="A3" s="27">
        <v>45717</v>
      </c>
      <c r="C3" s="4" t="s">
        <v>166</v>
      </c>
      <c r="D3" s="4" t="s">
        <v>0</v>
      </c>
      <c r="F3" s="2">
        <v>9</v>
      </c>
      <c r="G3" s="33">
        <v>325</v>
      </c>
      <c r="H3" s="5">
        <f t="shared" si="0"/>
        <v>2925</v>
      </c>
      <c r="I3" s="28" t="s">
        <v>165</v>
      </c>
    </row>
    <row r="4" spans="1:9" ht="12" customHeight="1" x14ac:dyDescent="0.25">
      <c r="A4" s="27">
        <v>45717</v>
      </c>
      <c r="C4" s="4" t="s">
        <v>166</v>
      </c>
      <c r="D4" s="34" t="s">
        <v>0</v>
      </c>
      <c r="E4" s="14"/>
      <c r="F4" s="8">
        <v>72.599999999999994</v>
      </c>
      <c r="G4" s="22">
        <v>400</v>
      </c>
      <c r="H4" s="5">
        <f t="shared" si="0"/>
        <v>29039.999999999996</v>
      </c>
      <c r="I4" s="28" t="s">
        <v>165</v>
      </c>
    </row>
    <row r="5" spans="1:9" ht="12" customHeight="1" x14ac:dyDescent="0.25">
      <c r="A5" s="27">
        <v>45717</v>
      </c>
      <c r="C5" s="4" t="s">
        <v>166</v>
      </c>
      <c r="D5" s="6" t="s">
        <v>0</v>
      </c>
      <c r="E5" s="14"/>
      <c r="F5" s="8">
        <v>31.2</v>
      </c>
      <c r="G5" s="22">
        <v>475</v>
      </c>
      <c r="H5" s="5">
        <f t="shared" si="0"/>
        <v>14820</v>
      </c>
      <c r="I5" s="28" t="s">
        <v>165</v>
      </c>
    </row>
    <row r="6" spans="1:9" ht="12" customHeight="1" x14ac:dyDescent="0.25">
      <c r="A6" s="27">
        <v>45717</v>
      </c>
      <c r="C6" s="4" t="s">
        <v>166</v>
      </c>
      <c r="D6" s="32" t="s">
        <v>0</v>
      </c>
      <c r="F6" s="2">
        <v>25</v>
      </c>
      <c r="G6" s="33">
        <v>760</v>
      </c>
      <c r="H6" s="5">
        <f t="shared" si="0"/>
        <v>19000</v>
      </c>
      <c r="I6" s="28" t="s">
        <v>165</v>
      </c>
    </row>
    <row r="7" spans="1:9" ht="12" customHeight="1" x14ac:dyDescent="0.25">
      <c r="A7" s="27">
        <v>45717</v>
      </c>
      <c r="C7" s="4" t="s">
        <v>166</v>
      </c>
      <c r="D7" s="32" t="s">
        <v>0</v>
      </c>
      <c r="F7" s="7">
        <v>32.700000000000003</v>
      </c>
      <c r="G7" s="33">
        <v>860</v>
      </c>
      <c r="H7" s="5">
        <f t="shared" si="0"/>
        <v>28122.000000000004</v>
      </c>
      <c r="I7" s="28" t="s">
        <v>165</v>
      </c>
    </row>
    <row r="8" spans="1:9" x14ac:dyDescent="0.25">
      <c r="A8" s="27">
        <v>45717</v>
      </c>
      <c r="C8" s="4" t="s">
        <v>166</v>
      </c>
      <c r="D8" s="9" t="s">
        <v>0</v>
      </c>
      <c r="E8" s="12"/>
      <c r="F8" s="8">
        <v>13</v>
      </c>
      <c r="G8" s="22">
        <v>1000</v>
      </c>
      <c r="H8" s="5">
        <f t="shared" ref="H8:H71" si="1">(E8*G8)+(F8*G8)</f>
        <v>13000</v>
      </c>
      <c r="I8" s="28" t="s">
        <v>165</v>
      </c>
    </row>
    <row r="9" spans="1:9" x14ac:dyDescent="0.25">
      <c r="A9" s="27">
        <v>45717</v>
      </c>
      <c r="C9" s="4" t="s">
        <v>166</v>
      </c>
      <c r="D9" s="34" t="s">
        <v>1</v>
      </c>
      <c r="E9" s="14">
        <v>29</v>
      </c>
      <c r="F9" s="8"/>
      <c r="G9" s="11">
        <v>265</v>
      </c>
      <c r="H9" s="5">
        <f>(E9*G9)+(F9*G9)</f>
        <v>7685</v>
      </c>
      <c r="I9" s="28" t="s">
        <v>165</v>
      </c>
    </row>
    <row r="10" spans="1:9" x14ac:dyDescent="0.25">
      <c r="A10" s="27">
        <v>45717</v>
      </c>
      <c r="C10" s="4" t="s">
        <v>166</v>
      </c>
      <c r="D10" s="35" t="s">
        <v>2</v>
      </c>
      <c r="F10" s="8">
        <v>5.35</v>
      </c>
      <c r="G10" s="13">
        <v>75</v>
      </c>
      <c r="H10" s="5">
        <f t="shared" si="1"/>
        <v>401.25</v>
      </c>
      <c r="I10" s="28" t="s">
        <v>165</v>
      </c>
    </row>
    <row r="11" spans="1:9" x14ac:dyDescent="0.25">
      <c r="A11" s="27">
        <v>45717</v>
      </c>
      <c r="C11" s="4" t="s">
        <v>166</v>
      </c>
      <c r="D11" s="32" t="s">
        <v>2</v>
      </c>
      <c r="F11" s="2">
        <v>22.5</v>
      </c>
      <c r="G11" s="13">
        <v>79.207899999999995</v>
      </c>
      <c r="H11" s="5">
        <f t="shared" si="1"/>
        <v>1782.1777499999998</v>
      </c>
      <c r="I11" s="28" t="s">
        <v>165</v>
      </c>
    </row>
    <row r="12" spans="1:9" x14ac:dyDescent="0.25">
      <c r="A12" s="27">
        <v>45717</v>
      </c>
      <c r="C12" s="4" t="s">
        <v>166</v>
      </c>
      <c r="D12" s="32" t="s">
        <v>2</v>
      </c>
      <c r="F12" s="2">
        <v>15</v>
      </c>
      <c r="G12" s="13">
        <v>131</v>
      </c>
      <c r="H12" s="5">
        <f t="shared" si="1"/>
        <v>1965</v>
      </c>
      <c r="I12" s="28" t="s">
        <v>165</v>
      </c>
    </row>
    <row r="13" spans="1:9" x14ac:dyDescent="0.25">
      <c r="A13" s="27">
        <v>45717</v>
      </c>
      <c r="C13" s="4" t="s">
        <v>166</v>
      </c>
      <c r="D13" s="32" t="s">
        <v>2</v>
      </c>
      <c r="F13" s="2">
        <v>4.5</v>
      </c>
      <c r="G13" s="13">
        <v>135</v>
      </c>
      <c r="H13" s="5">
        <f t="shared" si="1"/>
        <v>607.5</v>
      </c>
      <c r="I13" s="28" t="s">
        <v>165</v>
      </c>
    </row>
    <row r="14" spans="1:9" x14ac:dyDescent="0.25">
      <c r="A14" s="27">
        <v>45717</v>
      </c>
      <c r="C14" s="4" t="s">
        <v>166</v>
      </c>
      <c r="D14" s="32" t="s">
        <v>2</v>
      </c>
      <c r="F14" s="17">
        <v>10</v>
      </c>
      <c r="G14" s="11">
        <v>141</v>
      </c>
      <c r="H14" s="5">
        <f t="shared" si="1"/>
        <v>1410</v>
      </c>
      <c r="I14" s="28" t="s">
        <v>165</v>
      </c>
    </row>
    <row r="15" spans="1:9" x14ac:dyDescent="0.25">
      <c r="A15" s="27">
        <v>45717</v>
      </c>
      <c r="C15" s="4" t="s">
        <v>166</v>
      </c>
      <c r="D15" s="32" t="s">
        <v>2</v>
      </c>
      <c r="F15" s="2">
        <v>6</v>
      </c>
      <c r="G15" s="13">
        <v>151.8151</v>
      </c>
      <c r="H15" s="5">
        <f t="shared" si="1"/>
        <v>910.89059999999995</v>
      </c>
      <c r="I15" s="28" t="s">
        <v>165</v>
      </c>
    </row>
    <row r="16" spans="1:9" x14ac:dyDescent="0.25">
      <c r="A16" s="27">
        <v>45717</v>
      </c>
      <c r="C16" s="4" t="s">
        <v>166</v>
      </c>
      <c r="D16" s="34" t="s">
        <v>2</v>
      </c>
      <c r="E16" s="14"/>
      <c r="F16" s="11">
        <v>22.6</v>
      </c>
      <c r="G16" s="34">
        <v>156</v>
      </c>
      <c r="H16" s="5">
        <f t="shared" si="1"/>
        <v>3525.6000000000004</v>
      </c>
      <c r="I16" s="28" t="s">
        <v>165</v>
      </c>
    </row>
    <row r="17" spans="1:9" x14ac:dyDescent="0.25">
      <c r="A17" s="27">
        <v>45717</v>
      </c>
      <c r="C17" s="4" t="s">
        <v>166</v>
      </c>
      <c r="D17" s="32" t="s">
        <v>2</v>
      </c>
      <c r="F17" s="7">
        <f>17.5-11.75</f>
        <v>5.75</v>
      </c>
      <c r="G17" s="13">
        <v>160</v>
      </c>
      <c r="H17" s="5">
        <f t="shared" si="1"/>
        <v>920</v>
      </c>
      <c r="I17" s="28" t="s">
        <v>165</v>
      </c>
    </row>
    <row r="18" spans="1:9" x14ac:dyDescent="0.25">
      <c r="A18" s="27">
        <v>45717</v>
      </c>
      <c r="C18" s="4" t="s">
        <v>166</v>
      </c>
      <c r="D18" s="9" t="s">
        <v>2</v>
      </c>
      <c r="E18" s="12"/>
      <c r="F18" s="8">
        <v>30</v>
      </c>
      <c r="G18" s="11">
        <v>170</v>
      </c>
      <c r="H18" s="5">
        <f t="shared" si="1"/>
        <v>5100</v>
      </c>
      <c r="I18" s="28" t="s">
        <v>165</v>
      </c>
    </row>
    <row r="19" spans="1:9" x14ac:dyDescent="0.25">
      <c r="A19" s="27">
        <v>45717</v>
      </c>
      <c r="C19" s="4" t="s">
        <v>166</v>
      </c>
      <c r="D19" s="32" t="s">
        <v>2</v>
      </c>
      <c r="F19" s="2">
        <f>2.2</f>
        <v>2.2000000000000002</v>
      </c>
      <c r="G19" s="13">
        <v>200</v>
      </c>
      <c r="H19" s="5">
        <f t="shared" si="1"/>
        <v>440.00000000000006</v>
      </c>
      <c r="I19" s="28" t="s">
        <v>165</v>
      </c>
    </row>
    <row r="20" spans="1:9" x14ac:dyDescent="0.25">
      <c r="A20" s="27">
        <v>45717</v>
      </c>
      <c r="C20" s="4" t="s">
        <v>166</v>
      </c>
      <c r="D20" s="32" t="s">
        <v>2</v>
      </c>
      <c r="F20" s="2">
        <v>167.7</v>
      </c>
      <c r="G20" s="13">
        <v>240</v>
      </c>
      <c r="H20" s="5">
        <f t="shared" si="1"/>
        <v>40248</v>
      </c>
      <c r="I20" s="28" t="s">
        <v>165</v>
      </c>
    </row>
    <row r="21" spans="1:9" x14ac:dyDescent="0.25">
      <c r="A21" s="27">
        <v>45717</v>
      </c>
      <c r="C21" s="4" t="s">
        <v>166</v>
      </c>
      <c r="D21" s="9" t="s">
        <v>3</v>
      </c>
      <c r="E21" s="14"/>
      <c r="F21" s="31">
        <v>16</v>
      </c>
      <c r="G21" s="11">
        <v>48.5</v>
      </c>
      <c r="H21" s="5">
        <f t="shared" si="1"/>
        <v>776</v>
      </c>
      <c r="I21" s="28" t="s">
        <v>165</v>
      </c>
    </row>
    <row r="22" spans="1:9" x14ac:dyDescent="0.25">
      <c r="A22" s="27">
        <v>45717</v>
      </c>
      <c r="C22" s="4" t="s">
        <v>166</v>
      </c>
      <c r="D22" s="9" t="s">
        <v>4</v>
      </c>
      <c r="F22" s="2">
        <v>22.7</v>
      </c>
      <c r="G22" s="11">
        <v>100</v>
      </c>
      <c r="H22" s="5">
        <f t="shared" si="1"/>
        <v>2270</v>
      </c>
      <c r="I22" s="28" t="s">
        <v>165</v>
      </c>
    </row>
    <row r="23" spans="1:9" x14ac:dyDescent="0.25">
      <c r="A23" s="27">
        <v>45717</v>
      </c>
      <c r="C23" s="4" t="s">
        <v>166</v>
      </c>
      <c r="D23" s="32" t="s">
        <v>4</v>
      </c>
      <c r="E23" s="10">
        <v>1</v>
      </c>
      <c r="G23" s="13">
        <v>150</v>
      </c>
      <c r="H23" s="5">
        <f t="shared" si="1"/>
        <v>150</v>
      </c>
      <c r="I23" s="28" t="s">
        <v>165</v>
      </c>
    </row>
    <row r="24" spans="1:9" x14ac:dyDescent="0.25">
      <c r="A24" s="27">
        <v>45717</v>
      </c>
      <c r="C24" s="4" t="s">
        <v>166</v>
      </c>
      <c r="D24" s="32" t="s">
        <v>4</v>
      </c>
      <c r="F24" s="2">
        <v>5</v>
      </c>
      <c r="G24" s="13">
        <v>170</v>
      </c>
      <c r="H24" s="5">
        <f t="shared" si="1"/>
        <v>850</v>
      </c>
      <c r="I24" s="28" t="s">
        <v>165</v>
      </c>
    </row>
    <row r="25" spans="1:9" x14ac:dyDescent="0.25">
      <c r="A25" s="27">
        <v>45717</v>
      </c>
      <c r="C25" s="4" t="s">
        <v>166</v>
      </c>
      <c r="D25" s="34" t="s">
        <v>4</v>
      </c>
      <c r="E25" s="36"/>
      <c r="F25" s="11">
        <v>2</v>
      </c>
      <c r="G25" s="11">
        <v>180</v>
      </c>
      <c r="H25" s="5">
        <f t="shared" si="1"/>
        <v>360</v>
      </c>
      <c r="I25" s="28" t="s">
        <v>165</v>
      </c>
    </row>
    <row r="26" spans="1:9" x14ac:dyDescent="0.25">
      <c r="A26" s="27">
        <v>45717</v>
      </c>
      <c r="C26" s="4" t="s">
        <v>166</v>
      </c>
      <c r="D26" s="32" t="s">
        <v>4</v>
      </c>
      <c r="F26" s="2">
        <v>4</v>
      </c>
      <c r="G26" s="13">
        <v>250</v>
      </c>
      <c r="H26" s="5">
        <f t="shared" si="1"/>
        <v>1000</v>
      </c>
      <c r="I26" s="28" t="s">
        <v>165</v>
      </c>
    </row>
    <row r="27" spans="1:9" x14ac:dyDescent="0.25">
      <c r="A27" s="27">
        <v>45717</v>
      </c>
      <c r="C27" s="4" t="s">
        <v>166</v>
      </c>
      <c r="D27" s="32" t="s">
        <v>4</v>
      </c>
      <c r="F27" s="2">
        <v>0.3</v>
      </c>
      <c r="G27" s="13">
        <v>280</v>
      </c>
      <c r="H27" s="5">
        <f t="shared" si="1"/>
        <v>84</v>
      </c>
      <c r="I27" s="28" t="s">
        <v>165</v>
      </c>
    </row>
    <row r="28" spans="1:9" x14ac:dyDescent="0.25">
      <c r="A28" s="27">
        <v>45717</v>
      </c>
      <c r="C28" s="4" t="s">
        <v>166</v>
      </c>
      <c r="D28" s="9" t="s">
        <v>4</v>
      </c>
      <c r="E28" s="12"/>
      <c r="F28" s="8">
        <v>6</v>
      </c>
      <c r="G28" s="11">
        <v>300</v>
      </c>
      <c r="H28" s="5">
        <f t="shared" si="1"/>
        <v>1800</v>
      </c>
      <c r="I28" s="28" t="s">
        <v>165</v>
      </c>
    </row>
    <row r="29" spans="1:9" x14ac:dyDescent="0.25">
      <c r="A29" s="27">
        <v>45717</v>
      </c>
      <c r="C29" s="4" t="s">
        <v>166</v>
      </c>
      <c r="D29" s="34" t="s">
        <v>4</v>
      </c>
      <c r="E29" s="14"/>
      <c r="F29" s="8">
        <v>2.1</v>
      </c>
      <c r="G29" s="11">
        <v>400</v>
      </c>
      <c r="H29" s="5">
        <f t="shared" si="1"/>
        <v>840</v>
      </c>
      <c r="I29" s="28" t="s">
        <v>165</v>
      </c>
    </row>
    <row r="30" spans="1:9" x14ac:dyDescent="0.25">
      <c r="A30" s="27">
        <v>45717</v>
      </c>
      <c r="C30" s="4" t="s">
        <v>166</v>
      </c>
      <c r="D30" s="32" t="s">
        <v>4</v>
      </c>
      <c r="E30" s="3"/>
      <c r="F30" s="2">
        <v>0.5</v>
      </c>
      <c r="G30" s="13">
        <v>1000</v>
      </c>
      <c r="H30" s="5">
        <f t="shared" si="1"/>
        <v>500</v>
      </c>
      <c r="I30" s="28" t="s">
        <v>165</v>
      </c>
    </row>
    <row r="31" spans="1:9" x14ac:dyDescent="0.25">
      <c r="A31" s="27">
        <v>45717</v>
      </c>
      <c r="C31" s="4" t="s">
        <v>166</v>
      </c>
      <c r="D31" s="34" t="s">
        <v>5</v>
      </c>
      <c r="E31" s="14"/>
      <c r="F31" s="8">
        <v>2.8</v>
      </c>
      <c r="G31" s="11">
        <v>240</v>
      </c>
      <c r="H31" s="5">
        <f t="shared" si="1"/>
        <v>672</v>
      </c>
      <c r="I31" s="28" t="s">
        <v>165</v>
      </c>
    </row>
    <row r="32" spans="1:9" x14ac:dyDescent="0.25">
      <c r="A32" s="27">
        <v>45717</v>
      </c>
      <c r="C32" s="4" t="s">
        <v>166</v>
      </c>
      <c r="D32" s="34" t="s">
        <v>5</v>
      </c>
      <c r="E32" s="14"/>
      <c r="F32" s="8">
        <v>18.75</v>
      </c>
      <c r="G32" s="11">
        <v>250</v>
      </c>
      <c r="H32" s="5">
        <f t="shared" si="1"/>
        <v>4687.5</v>
      </c>
      <c r="I32" s="28" t="s">
        <v>165</v>
      </c>
    </row>
    <row r="33" spans="1:9" x14ac:dyDescent="0.25">
      <c r="A33" s="27">
        <v>45717</v>
      </c>
      <c r="C33" s="4" t="s">
        <v>166</v>
      </c>
      <c r="D33" s="9" t="s">
        <v>5</v>
      </c>
      <c r="E33" s="12"/>
      <c r="F33" s="8">
        <v>3</v>
      </c>
      <c r="G33" s="11">
        <v>500</v>
      </c>
      <c r="H33" s="5">
        <f t="shared" si="1"/>
        <v>1500</v>
      </c>
      <c r="I33" s="28" t="s">
        <v>165</v>
      </c>
    </row>
    <row r="34" spans="1:9" x14ac:dyDescent="0.25">
      <c r="A34" s="27">
        <v>45717</v>
      </c>
      <c r="C34" s="4" t="s">
        <v>166</v>
      </c>
      <c r="D34" s="9" t="s">
        <v>5</v>
      </c>
      <c r="E34" s="12"/>
      <c r="F34" s="8">
        <v>0.7</v>
      </c>
      <c r="G34" s="11">
        <v>700</v>
      </c>
      <c r="H34" s="5">
        <f t="shared" si="1"/>
        <v>489.99999999999994</v>
      </c>
      <c r="I34" s="28" t="s">
        <v>165</v>
      </c>
    </row>
    <row r="35" spans="1:9" x14ac:dyDescent="0.25">
      <c r="A35" s="27">
        <v>45717</v>
      </c>
      <c r="C35" s="4" t="s">
        <v>166</v>
      </c>
      <c r="D35" s="32" t="s">
        <v>6</v>
      </c>
      <c r="F35" s="2">
        <v>170</v>
      </c>
      <c r="G35" s="13">
        <v>260</v>
      </c>
      <c r="H35" s="5">
        <f t="shared" si="1"/>
        <v>44200</v>
      </c>
      <c r="I35" s="28" t="s">
        <v>165</v>
      </c>
    </row>
    <row r="36" spans="1:9" x14ac:dyDescent="0.25">
      <c r="A36" s="27">
        <v>45717</v>
      </c>
      <c r="C36" s="4" t="s">
        <v>166</v>
      </c>
      <c r="D36" s="29" t="s">
        <v>7</v>
      </c>
      <c r="E36" s="30"/>
      <c r="F36" s="31">
        <v>43.2</v>
      </c>
      <c r="G36" s="31">
        <v>42</v>
      </c>
      <c r="H36" s="5">
        <f t="shared" si="1"/>
        <v>1814.4</v>
      </c>
      <c r="I36" s="28" t="s">
        <v>165</v>
      </c>
    </row>
    <row r="37" spans="1:9" x14ac:dyDescent="0.25">
      <c r="A37" s="27">
        <v>45717</v>
      </c>
      <c r="C37" s="4" t="s">
        <v>166</v>
      </c>
      <c r="D37" s="29" t="s">
        <v>7</v>
      </c>
      <c r="F37" s="2">
        <v>20</v>
      </c>
      <c r="G37" s="13">
        <v>81</v>
      </c>
      <c r="H37" s="5">
        <f t="shared" si="1"/>
        <v>1620</v>
      </c>
      <c r="I37" s="28" t="s">
        <v>165</v>
      </c>
    </row>
    <row r="38" spans="1:9" x14ac:dyDescent="0.25">
      <c r="A38" s="27">
        <v>45717</v>
      </c>
      <c r="C38" s="4" t="s">
        <v>166</v>
      </c>
      <c r="D38" s="29" t="s">
        <v>7</v>
      </c>
      <c r="F38" s="2">
        <v>3.65</v>
      </c>
      <c r="G38" s="13">
        <v>90</v>
      </c>
      <c r="H38" s="5">
        <f t="shared" si="1"/>
        <v>328.5</v>
      </c>
      <c r="I38" s="28" t="s">
        <v>165</v>
      </c>
    </row>
    <row r="39" spans="1:9" x14ac:dyDescent="0.25">
      <c r="A39" s="27">
        <v>45717</v>
      </c>
      <c r="C39" s="4" t="s">
        <v>166</v>
      </c>
      <c r="D39" s="32" t="s">
        <v>7</v>
      </c>
      <c r="F39" s="2">
        <v>22.3</v>
      </c>
      <c r="G39" s="13">
        <v>150</v>
      </c>
      <c r="H39" s="5">
        <f t="shared" si="1"/>
        <v>3345</v>
      </c>
      <c r="I39" s="28" t="s">
        <v>165</v>
      </c>
    </row>
    <row r="40" spans="1:9" x14ac:dyDescent="0.25">
      <c r="A40" s="27">
        <v>45717</v>
      </c>
      <c r="C40" s="4" t="s">
        <v>166</v>
      </c>
      <c r="D40" s="32" t="s">
        <v>7</v>
      </c>
      <c r="F40" s="2">
        <v>32</v>
      </c>
      <c r="G40" s="13">
        <v>188.11879999999999</v>
      </c>
      <c r="H40" s="5">
        <f t="shared" si="1"/>
        <v>6019.8015999999998</v>
      </c>
      <c r="I40" s="28" t="s">
        <v>165</v>
      </c>
    </row>
    <row r="41" spans="1:9" x14ac:dyDescent="0.25">
      <c r="A41" s="27">
        <v>45717</v>
      </c>
      <c r="C41" s="4" t="s">
        <v>166</v>
      </c>
      <c r="D41" s="34" t="s">
        <v>7</v>
      </c>
      <c r="E41" s="14"/>
      <c r="F41" s="11">
        <v>62.5</v>
      </c>
      <c r="G41" s="34">
        <v>200</v>
      </c>
      <c r="H41" s="5">
        <f t="shared" si="1"/>
        <v>12500</v>
      </c>
      <c r="I41" s="28" t="s">
        <v>165</v>
      </c>
    </row>
    <row r="42" spans="1:9" x14ac:dyDescent="0.25">
      <c r="A42" s="27">
        <v>45717</v>
      </c>
      <c r="C42" s="4" t="s">
        <v>166</v>
      </c>
      <c r="D42" s="9" t="s">
        <v>7</v>
      </c>
      <c r="E42" s="12"/>
      <c r="F42" s="8">
        <v>20</v>
      </c>
      <c r="G42" s="11">
        <v>225</v>
      </c>
      <c r="H42" s="5">
        <f t="shared" si="1"/>
        <v>4500</v>
      </c>
      <c r="I42" s="28" t="s">
        <v>165</v>
      </c>
    </row>
    <row r="43" spans="1:9" x14ac:dyDescent="0.25">
      <c r="A43" s="27">
        <v>45717</v>
      </c>
      <c r="C43" s="4" t="s">
        <v>166</v>
      </c>
      <c r="D43" s="32" t="s">
        <v>7</v>
      </c>
      <c r="F43" s="2">
        <v>7</v>
      </c>
      <c r="G43" s="13">
        <v>240</v>
      </c>
      <c r="H43" s="5">
        <f t="shared" si="1"/>
        <v>1680</v>
      </c>
      <c r="I43" s="28" t="s">
        <v>165</v>
      </c>
    </row>
    <row r="44" spans="1:9" x14ac:dyDescent="0.25">
      <c r="A44" s="27">
        <v>45717</v>
      </c>
      <c r="C44" s="4" t="s">
        <v>166</v>
      </c>
      <c r="D44" s="29" t="s">
        <v>7</v>
      </c>
      <c r="E44" s="30"/>
      <c r="F44" s="31">
        <v>3.8</v>
      </c>
      <c r="G44" s="31">
        <v>247.5247</v>
      </c>
      <c r="H44" s="5">
        <f t="shared" si="1"/>
        <v>940.59385999999995</v>
      </c>
      <c r="I44" s="28" t="s">
        <v>165</v>
      </c>
    </row>
    <row r="45" spans="1:9" x14ac:dyDescent="0.25">
      <c r="A45" s="27">
        <v>45717</v>
      </c>
      <c r="C45" s="4" t="s">
        <v>166</v>
      </c>
      <c r="D45" s="9" t="s">
        <v>7</v>
      </c>
      <c r="F45" s="2">
        <v>78</v>
      </c>
      <c r="G45" s="13">
        <v>250</v>
      </c>
      <c r="H45" s="5">
        <f t="shared" si="1"/>
        <v>19500</v>
      </c>
      <c r="I45" s="28" t="s">
        <v>165</v>
      </c>
    </row>
    <row r="46" spans="1:9" x14ac:dyDescent="0.25">
      <c r="A46" s="27">
        <v>45717</v>
      </c>
      <c r="C46" s="4" t="s">
        <v>166</v>
      </c>
      <c r="D46" s="9" t="s">
        <v>7</v>
      </c>
      <c r="E46" s="12"/>
      <c r="F46" s="8">
        <v>130.5</v>
      </c>
      <c r="G46" s="11">
        <v>300</v>
      </c>
      <c r="H46" s="5">
        <f t="shared" si="1"/>
        <v>39150</v>
      </c>
      <c r="I46" s="28" t="s">
        <v>165</v>
      </c>
    </row>
    <row r="47" spans="1:9" x14ac:dyDescent="0.25">
      <c r="A47" s="27">
        <v>45717</v>
      </c>
      <c r="C47" s="4" t="s">
        <v>166</v>
      </c>
      <c r="D47" s="29" t="s">
        <v>7</v>
      </c>
      <c r="F47" s="37">
        <v>54.4</v>
      </c>
      <c r="G47" s="13">
        <v>380</v>
      </c>
      <c r="H47" s="5">
        <f t="shared" si="1"/>
        <v>20672</v>
      </c>
      <c r="I47" s="28" t="s">
        <v>165</v>
      </c>
    </row>
    <row r="48" spans="1:9" x14ac:dyDescent="0.25">
      <c r="A48" s="27">
        <v>45717</v>
      </c>
      <c r="C48" s="4" t="s">
        <v>166</v>
      </c>
      <c r="D48" s="32" t="s">
        <v>8</v>
      </c>
      <c r="F48" s="2">
        <v>2.75</v>
      </c>
      <c r="G48" s="13">
        <v>400</v>
      </c>
      <c r="H48" s="5">
        <f t="shared" si="1"/>
        <v>1100</v>
      </c>
      <c r="I48" s="28" t="s">
        <v>165</v>
      </c>
    </row>
    <row r="49" spans="1:9" x14ac:dyDescent="0.25">
      <c r="A49" s="27">
        <v>45717</v>
      </c>
      <c r="C49" s="4" t="s">
        <v>166</v>
      </c>
      <c r="D49" s="9" t="s">
        <v>9</v>
      </c>
      <c r="F49" s="7">
        <v>122.9</v>
      </c>
      <c r="G49" s="13">
        <v>120</v>
      </c>
      <c r="H49" s="5">
        <f t="shared" si="1"/>
        <v>14748</v>
      </c>
      <c r="I49" s="28" t="s">
        <v>165</v>
      </c>
    </row>
    <row r="50" spans="1:9" x14ac:dyDescent="0.25">
      <c r="A50" s="27">
        <v>45717</v>
      </c>
      <c r="C50" s="4" t="s">
        <v>166</v>
      </c>
      <c r="D50" s="9" t="s">
        <v>9</v>
      </c>
      <c r="E50" s="30"/>
      <c r="F50" s="8">
        <v>70</v>
      </c>
      <c r="G50" s="11">
        <v>150</v>
      </c>
      <c r="H50" s="5">
        <f t="shared" si="1"/>
        <v>10500</v>
      </c>
      <c r="I50" s="28" t="s">
        <v>165</v>
      </c>
    </row>
    <row r="51" spans="1:9" x14ac:dyDescent="0.25">
      <c r="A51" s="27">
        <v>45717</v>
      </c>
      <c r="C51" s="4" t="s">
        <v>166</v>
      </c>
      <c r="D51" s="34" t="s">
        <v>9</v>
      </c>
      <c r="E51" s="14"/>
      <c r="F51" s="11">
        <v>3</v>
      </c>
      <c r="G51" s="11">
        <v>180</v>
      </c>
      <c r="H51" s="5">
        <f t="shared" si="1"/>
        <v>540</v>
      </c>
      <c r="I51" s="28" t="s">
        <v>165</v>
      </c>
    </row>
    <row r="52" spans="1:9" x14ac:dyDescent="0.25">
      <c r="A52" s="27">
        <v>45717</v>
      </c>
      <c r="C52" s="4" t="s">
        <v>166</v>
      </c>
      <c r="D52" s="9" t="s">
        <v>9</v>
      </c>
      <c r="E52" s="30"/>
      <c r="F52" s="8">
        <v>9.3000000000000007</v>
      </c>
      <c r="G52" s="11">
        <v>190</v>
      </c>
      <c r="H52" s="5">
        <f t="shared" si="1"/>
        <v>1767.0000000000002</v>
      </c>
      <c r="I52" s="28" t="s">
        <v>165</v>
      </c>
    </row>
    <row r="53" spans="1:9" x14ac:dyDescent="0.25">
      <c r="A53" s="27">
        <v>45717</v>
      </c>
      <c r="C53" s="4" t="s">
        <v>166</v>
      </c>
      <c r="D53" s="32" t="s">
        <v>9</v>
      </c>
      <c r="F53" s="7">
        <v>11</v>
      </c>
      <c r="G53" s="13">
        <v>200</v>
      </c>
      <c r="H53" s="5">
        <f t="shared" si="1"/>
        <v>2200</v>
      </c>
      <c r="I53" s="28" t="s">
        <v>165</v>
      </c>
    </row>
    <row r="54" spans="1:9" x14ac:dyDescent="0.25">
      <c r="A54" s="27">
        <v>45717</v>
      </c>
      <c r="C54" s="4" t="s">
        <v>166</v>
      </c>
      <c r="D54" s="32" t="s">
        <v>9</v>
      </c>
      <c r="F54" s="2">
        <v>11.5</v>
      </c>
      <c r="G54" s="13">
        <v>220</v>
      </c>
      <c r="H54" s="5">
        <f t="shared" si="1"/>
        <v>2530</v>
      </c>
      <c r="I54" s="28" t="s">
        <v>165</v>
      </c>
    </row>
    <row r="55" spans="1:9" x14ac:dyDescent="0.25">
      <c r="A55" s="27">
        <v>45717</v>
      </c>
      <c r="C55" s="4" t="s">
        <v>166</v>
      </c>
      <c r="D55" s="32" t="s">
        <v>9</v>
      </c>
      <c r="F55" s="2">
        <v>4.5999999999999996</v>
      </c>
      <c r="G55" s="13">
        <v>230</v>
      </c>
      <c r="H55" s="5">
        <f t="shared" si="1"/>
        <v>1058</v>
      </c>
      <c r="I55" s="28" t="s">
        <v>165</v>
      </c>
    </row>
    <row r="56" spans="1:9" x14ac:dyDescent="0.25">
      <c r="A56" s="27">
        <v>45717</v>
      </c>
      <c r="C56" s="4" t="s">
        <v>166</v>
      </c>
      <c r="D56" s="34" t="s">
        <v>9</v>
      </c>
      <c r="E56" s="14"/>
      <c r="F56" s="11">
        <v>35.5</v>
      </c>
      <c r="G56" s="11">
        <v>250</v>
      </c>
      <c r="H56" s="5">
        <f t="shared" si="1"/>
        <v>8875</v>
      </c>
      <c r="I56" s="28" t="s">
        <v>165</v>
      </c>
    </row>
    <row r="57" spans="1:9" x14ac:dyDescent="0.25">
      <c r="A57" s="27">
        <v>45717</v>
      </c>
      <c r="C57" s="4" t="s">
        <v>166</v>
      </c>
      <c r="D57" s="9" t="s">
        <v>9</v>
      </c>
      <c r="F57" s="2">
        <v>26.5</v>
      </c>
      <c r="G57" s="13">
        <v>350</v>
      </c>
      <c r="H57" s="5">
        <f t="shared" si="1"/>
        <v>9275</v>
      </c>
      <c r="I57" s="28" t="s">
        <v>165</v>
      </c>
    </row>
    <row r="58" spans="1:9" x14ac:dyDescent="0.25">
      <c r="A58" s="27">
        <v>45717</v>
      </c>
      <c r="C58" s="4" t="s">
        <v>166</v>
      </c>
      <c r="D58" s="34" t="s">
        <v>9</v>
      </c>
      <c r="E58" s="12"/>
      <c r="F58" s="11">
        <v>6.5</v>
      </c>
      <c r="G58" s="11">
        <v>400</v>
      </c>
      <c r="H58" s="5">
        <f t="shared" si="1"/>
        <v>2600</v>
      </c>
      <c r="I58" s="28" t="s">
        <v>165</v>
      </c>
    </row>
    <row r="59" spans="1:9" x14ac:dyDescent="0.25">
      <c r="A59" s="27">
        <v>45717</v>
      </c>
      <c r="C59" s="4" t="s">
        <v>166</v>
      </c>
      <c r="D59" s="32" t="s">
        <v>9</v>
      </c>
      <c r="E59" s="14"/>
      <c r="F59" s="11">
        <v>4</v>
      </c>
      <c r="G59" s="11">
        <v>460</v>
      </c>
      <c r="H59" s="5">
        <f t="shared" si="1"/>
        <v>1840</v>
      </c>
      <c r="I59" s="28" t="s">
        <v>165</v>
      </c>
    </row>
    <row r="60" spans="1:9" x14ac:dyDescent="0.25">
      <c r="A60" s="27">
        <v>45717</v>
      </c>
      <c r="C60" s="4" t="s">
        <v>166</v>
      </c>
      <c r="D60" s="32" t="s">
        <v>9</v>
      </c>
      <c r="F60" s="2">
        <v>10</v>
      </c>
      <c r="G60" s="13">
        <v>500</v>
      </c>
      <c r="H60" s="5">
        <f t="shared" si="1"/>
        <v>5000</v>
      </c>
      <c r="I60" s="28" t="s">
        <v>165</v>
      </c>
    </row>
    <row r="61" spans="1:9" x14ac:dyDescent="0.25">
      <c r="A61" s="27">
        <v>45717</v>
      </c>
      <c r="C61" s="4" t="s">
        <v>166</v>
      </c>
      <c r="D61" s="32" t="s">
        <v>9</v>
      </c>
      <c r="F61" s="2">
        <v>9.4</v>
      </c>
      <c r="G61" s="13">
        <v>600</v>
      </c>
      <c r="H61" s="5">
        <f t="shared" si="1"/>
        <v>5640</v>
      </c>
      <c r="I61" s="28" t="s">
        <v>165</v>
      </c>
    </row>
    <row r="62" spans="1:9" x14ac:dyDescent="0.25">
      <c r="A62" s="27">
        <v>45717</v>
      </c>
      <c r="C62" s="4" t="s">
        <v>166</v>
      </c>
      <c r="D62" s="32" t="s">
        <v>9</v>
      </c>
      <c r="F62" s="2">
        <v>3</v>
      </c>
      <c r="G62" s="13">
        <v>800</v>
      </c>
      <c r="H62" s="5">
        <f t="shared" si="1"/>
        <v>2400</v>
      </c>
      <c r="I62" s="28" t="s">
        <v>165</v>
      </c>
    </row>
    <row r="63" spans="1:9" x14ac:dyDescent="0.25">
      <c r="A63" s="27">
        <v>45717</v>
      </c>
      <c r="C63" s="4" t="s">
        <v>166</v>
      </c>
      <c r="D63" s="34" t="s">
        <v>10</v>
      </c>
      <c r="E63" s="36"/>
      <c r="F63" s="11">
        <v>60</v>
      </c>
      <c r="G63" s="11">
        <v>350</v>
      </c>
      <c r="H63" s="5">
        <f t="shared" si="1"/>
        <v>21000</v>
      </c>
      <c r="I63" s="28" t="s">
        <v>165</v>
      </c>
    </row>
    <row r="64" spans="1:9" x14ac:dyDescent="0.25">
      <c r="A64" s="27">
        <v>45717</v>
      </c>
      <c r="C64" s="4" t="s">
        <v>166</v>
      </c>
      <c r="D64" s="32" t="s">
        <v>10</v>
      </c>
      <c r="F64" s="2">
        <v>48.2</v>
      </c>
      <c r="G64" s="13">
        <v>410</v>
      </c>
      <c r="H64" s="5">
        <f t="shared" si="1"/>
        <v>19762</v>
      </c>
      <c r="I64" s="28" t="s">
        <v>165</v>
      </c>
    </row>
    <row r="65" spans="1:9" x14ac:dyDescent="0.25">
      <c r="A65" s="27">
        <v>45717</v>
      </c>
      <c r="C65" s="4" t="s">
        <v>166</v>
      </c>
      <c r="D65" s="32" t="s">
        <v>10</v>
      </c>
      <c r="F65" s="2">
        <v>26.75</v>
      </c>
      <c r="G65" s="13">
        <v>450</v>
      </c>
      <c r="H65" s="5">
        <f t="shared" si="1"/>
        <v>12037.5</v>
      </c>
      <c r="I65" s="28" t="s">
        <v>165</v>
      </c>
    </row>
    <row r="66" spans="1:9" x14ac:dyDescent="0.25">
      <c r="A66" s="27">
        <v>45717</v>
      </c>
      <c r="C66" s="4" t="s">
        <v>166</v>
      </c>
      <c r="D66" s="34" t="s">
        <v>10</v>
      </c>
      <c r="E66" s="14"/>
      <c r="F66" s="11">
        <v>237.5</v>
      </c>
      <c r="G66" s="11">
        <v>460</v>
      </c>
      <c r="H66" s="5">
        <f t="shared" si="1"/>
        <v>109250</v>
      </c>
      <c r="I66" s="28" t="s">
        <v>165</v>
      </c>
    </row>
    <row r="67" spans="1:9" x14ac:dyDescent="0.25">
      <c r="A67" s="27">
        <v>45717</v>
      </c>
      <c r="C67" s="4" t="s">
        <v>166</v>
      </c>
      <c r="D67" s="32" t="s">
        <v>10</v>
      </c>
      <c r="F67" s="2">
        <v>8</v>
      </c>
      <c r="G67" s="13">
        <v>600</v>
      </c>
      <c r="H67" s="5">
        <f t="shared" si="1"/>
        <v>4800</v>
      </c>
      <c r="I67" s="28" t="s">
        <v>165</v>
      </c>
    </row>
    <row r="68" spans="1:9" x14ac:dyDescent="0.25">
      <c r="A68" s="27">
        <v>45717</v>
      </c>
      <c r="C68" s="4" t="s">
        <v>166</v>
      </c>
      <c r="D68" s="4" t="s">
        <v>10</v>
      </c>
      <c r="F68" s="2">
        <v>3.6</v>
      </c>
      <c r="G68" s="13">
        <v>1300</v>
      </c>
      <c r="H68" s="5">
        <f t="shared" si="1"/>
        <v>4680</v>
      </c>
      <c r="I68" s="28" t="s">
        <v>165</v>
      </c>
    </row>
    <row r="69" spans="1:9" x14ac:dyDescent="0.25">
      <c r="A69" s="27">
        <v>45717</v>
      </c>
      <c r="C69" s="4" t="s">
        <v>166</v>
      </c>
      <c r="D69" s="29" t="s">
        <v>11</v>
      </c>
      <c r="E69" s="30"/>
      <c r="F69" s="31">
        <v>3</v>
      </c>
      <c r="G69" s="31">
        <v>15</v>
      </c>
      <c r="H69" s="5">
        <f t="shared" si="1"/>
        <v>45</v>
      </c>
      <c r="I69" s="28" t="s">
        <v>165</v>
      </c>
    </row>
    <row r="70" spans="1:9" x14ac:dyDescent="0.25">
      <c r="A70" s="27">
        <v>45717</v>
      </c>
      <c r="C70" s="4" t="s">
        <v>166</v>
      </c>
      <c r="D70" s="32" t="s">
        <v>12</v>
      </c>
      <c r="F70" s="2">
        <v>1.35</v>
      </c>
      <c r="G70" s="13">
        <v>200</v>
      </c>
      <c r="H70" s="5">
        <f t="shared" si="1"/>
        <v>270</v>
      </c>
      <c r="I70" s="28" t="s">
        <v>165</v>
      </c>
    </row>
    <row r="71" spans="1:9" x14ac:dyDescent="0.25">
      <c r="A71" s="27">
        <v>45717</v>
      </c>
      <c r="C71" s="4" t="s">
        <v>166</v>
      </c>
      <c r="D71" s="9" t="s">
        <v>13</v>
      </c>
      <c r="E71" s="12"/>
      <c r="F71" s="8">
        <v>11</v>
      </c>
      <c r="G71" s="11">
        <v>330</v>
      </c>
      <c r="H71" s="5">
        <f t="shared" si="1"/>
        <v>3630</v>
      </c>
      <c r="I71" s="28" t="s">
        <v>165</v>
      </c>
    </row>
    <row r="72" spans="1:9" x14ac:dyDescent="0.25">
      <c r="A72" s="27">
        <v>45717</v>
      </c>
      <c r="C72" s="4" t="s">
        <v>166</v>
      </c>
      <c r="D72" s="9" t="s">
        <v>14</v>
      </c>
      <c r="F72" s="2">
        <v>7.6</v>
      </c>
      <c r="G72" s="13">
        <v>800</v>
      </c>
      <c r="H72" s="5">
        <f t="shared" ref="H72:H135" si="2">(E72*G72)+(F72*G72)</f>
        <v>6080</v>
      </c>
      <c r="I72" s="28" t="s">
        <v>165</v>
      </c>
    </row>
    <row r="73" spans="1:9" x14ac:dyDescent="0.25">
      <c r="A73" s="27">
        <v>45717</v>
      </c>
      <c r="C73" s="4" t="s">
        <v>166</v>
      </c>
      <c r="D73" s="32" t="s">
        <v>15</v>
      </c>
      <c r="F73" s="2">
        <v>10</v>
      </c>
      <c r="G73" s="13">
        <v>121</v>
      </c>
      <c r="H73" s="5">
        <f t="shared" si="2"/>
        <v>1210</v>
      </c>
      <c r="I73" s="28" t="s">
        <v>165</v>
      </c>
    </row>
    <row r="74" spans="1:9" x14ac:dyDescent="0.25">
      <c r="A74" s="27">
        <v>45717</v>
      </c>
      <c r="C74" s="4" t="s">
        <v>166</v>
      </c>
      <c r="D74" s="32" t="s">
        <v>15</v>
      </c>
      <c r="F74" s="11">
        <v>18</v>
      </c>
      <c r="G74" s="11">
        <v>130.9</v>
      </c>
      <c r="H74" s="5">
        <f t="shared" si="2"/>
        <v>2356.2000000000003</v>
      </c>
      <c r="I74" s="28" t="s">
        <v>165</v>
      </c>
    </row>
    <row r="75" spans="1:9" x14ac:dyDescent="0.25">
      <c r="A75" s="27">
        <v>45717</v>
      </c>
      <c r="C75" s="4" t="s">
        <v>166</v>
      </c>
      <c r="D75" s="32" t="s">
        <v>15</v>
      </c>
      <c r="F75" s="11">
        <v>20</v>
      </c>
      <c r="G75" s="11">
        <v>131</v>
      </c>
      <c r="H75" s="5">
        <f t="shared" si="2"/>
        <v>2620</v>
      </c>
      <c r="I75" s="28" t="s">
        <v>165</v>
      </c>
    </row>
    <row r="76" spans="1:9" x14ac:dyDescent="0.25">
      <c r="A76" s="27">
        <v>45717</v>
      </c>
      <c r="C76" s="4" t="s">
        <v>166</v>
      </c>
      <c r="D76" s="32" t="s">
        <v>15</v>
      </c>
      <c r="F76" s="2">
        <v>10</v>
      </c>
      <c r="G76" s="13">
        <v>136</v>
      </c>
      <c r="H76" s="5">
        <f t="shared" si="2"/>
        <v>1360</v>
      </c>
      <c r="I76" s="28" t="s">
        <v>165</v>
      </c>
    </row>
    <row r="77" spans="1:9" x14ac:dyDescent="0.25">
      <c r="A77" s="27">
        <v>45717</v>
      </c>
      <c r="C77" s="4" t="s">
        <v>166</v>
      </c>
      <c r="D77" s="32" t="s">
        <v>15</v>
      </c>
      <c r="F77" s="8">
        <v>1.5</v>
      </c>
      <c r="G77" s="11">
        <v>139</v>
      </c>
      <c r="H77" s="5">
        <f t="shared" si="2"/>
        <v>208.5</v>
      </c>
      <c r="I77" s="28" t="s">
        <v>165</v>
      </c>
    </row>
    <row r="78" spans="1:9" x14ac:dyDescent="0.25">
      <c r="A78" s="27">
        <v>45717</v>
      </c>
      <c r="C78" s="4" t="s">
        <v>166</v>
      </c>
      <c r="D78" s="32" t="s">
        <v>15</v>
      </c>
      <c r="F78" s="7">
        <v>70</v>
      </c>
      <c r="G78" s="13">
        <v>141</v>
      </c>
      <c r="H78" s="5">
        <f t="shared" si="2"/>
        <v>9870</v>
      </c>
      <c r="I78" s="28" t="s">
        <v>165</v>
      </c>
    </row>
    <row r="79" spans="1:9" x14ac:dyDescent="0.25">
      <c r="A79" s="27">
        <v>45717</v>
      </c>
      <c r="C79" s="4" t="s">
        <v>166</v>
      </c>
      <c r="D79" s="32" t="s">
        <v>15</v>
      </c>
      <c r="E79" s="2"/>
      <c r="F79" s="2">
        <v>35</v>
      </c>
      <c r="G79" s="13">
        <v>143.26</v>
      </c>
      <c r="H79" s="5">
        <f t="shared" si="2"/>
        <v>5014.0999999999995</v>
      </c>
      <c r="I79" s="28" t="s">
        <v>165</v>
      </c>
    </row>
    <row r="80" spans="1:9" x14ac:dyDescent="0.25">
      <c r="A80" s="27">
        <v>45717</v>
      </c>
      <c r="C80" s="4" t="s">
        <v>166</v>
      </c>
      <c r="D80" s="32" t="s">
        <v>15</v>
      </c>
      <c r="F80" s="2">
        <v>34.200000000000003</v>
      </c>
      <c r="G80" s="13">
        <v>150</v>
      </c>
      <c r="H80" s="5">
        <f t="shared" si="2"/>
        <v>5130</v>
      </c>
      <c r="I80" s="28" t="s">
        <v>165</v>
      </c>
    </row>
    <row r="81" spans="1:9" x14ac:dyDescent="0.25">
      <c r="A81" s="27">
        <v>45717</v>
      </c>
      <c r="C81" s="4" t="s">
        <v>166</v>
      </c>
      <c r="D81" s="32" t="s">
        <v>15</v>
      </c>
      <c r="F81" s="2">
        <v>30</v>
      </c>
      <c r="G81" s="13">
        <v>200</v>
      </c>
      <c r="H81" s="5">
        <f t="shared" si="2"/>
        <v>6000</v>
      </c>
      <c r="I81" s="28" t="s">
        <v>165</v>
      </c>
    </row>
    <row r="82" spans="1:9" x14ac:dyDescent="0.25">
      <c r="A82" s="27">
        <v>45717</v>
      </c>
      <c r="C82" s="4" t="s">
        <v>166</v>
      </c>
      <c r="D82" s="32" t="s">
        <v>15</v>
      </c>
      <c r="F82" s="2">
        <v>112</v>
      </c>
      <c r="G82" s="13">
        <v>300</v>
      </c>
      <c r="H82" s="5">
        <f t="shared" si="2"/>
        <v>33600</v>
      </c>
      <c r="I82" s="28" t="s">
        <v>165</v>
      </c>
    </row>
    <row r="83" spans="1:9" x14ac:dyDescent="0.25">
      <c r="A83" s="27">
        <v>45717</v>
      </c>
      <c r="C83" s="4" t="s">
        <v>166</v>
      </c>
      <c r="D83" s="32" t="s">
        <v>15</v>
      </c>
      <c r="F83" s="2">
        <v>180</v>
      </c>
      <c r="G83" s="13">
        <v>335</v>
      </c>
      <c r="H83" s="5">
        <f t="shared" si="2"/>
        <v>60300</v>
      </c>
      <c r="I83" s="28" t="s">
        <v>165</v>
      </c>
    </row>
    <row r="84" spans="1:9" x14ac:dyDescent="0.25">
      <c r="A84" s="27">
        <v>45717</v>
      </c>
      <c r="C84" s="4" t="s">
        <v>166</v>
      </c>
      <c r="D84" s="32" t="s">
        <v>16</v>
      </c>
      <c r="F84" s="2">
        <v>19.8</v>
      </c>
      <c r="G84" s="13">
        <v>500</v>
      </c>
      <c r="H84" s="5">
        <f t="shared" si="2"/>
        <v>9900</v>
      </c>
      <c r="I84" s="28" t="s">
        <v>165</v>
      </c>
    </row>
    <row r="85" spans="1:9" x14ac:dyDescent="0.25">
      <c r="A85" s="27">
        <v>45717</v>
      </c>
      <c r="C85" s="4" t="s">
        <v>166</v>
      </c>
      <c r="D85" s="34" t="s">
        <v>16</v>
      </c>
      <c r="E85" s="14"/>
      <c r="F85" s="11">
        <v>3.65</v>
      </c>
      <c r="G85" s="11">
        <v>550</v>
      </c>
      <c r="H85" s="5">
        <f t="shared" si="2"/>
        <v>2007.5</v>
      </c>
      <c r="I85" s="28" t="s">
        <v>165</v>
      </c>
    </row>
    <row r="86" spans="1:9" x14ac:dyDescent="0.25">
      <c r="A86" s="27">
        <v>45717</v>
      </c>
      <c r="C86" s="4" t="s">
        <v>166</v>
      </c>
      <c r="D86" s="29" t="s">
        <v>17</v>
      </c>
      <c r="E86" s="30"/>
      <c r="F86" s="31">
        <v>40.799999999999997</v>
      </c>
      <c r="G86" s="31">
        <v>36</v>
      </c>
      <c r="H86" s="5">
        <f t="shared" si="2"/>
        <v>1468.8</v>
      </c>
      <c r="I86" s="28" t="s">
        <v>165</v>
      </c>
    </row>
    <row r="87" spans="1:9" x14ac:dyDescent="0.25">
      <c r="A87" s="27">
        <v>45717</v>
      </c>
      <c r="C87" s="4" t="s">
        <v>166</v>
      </c>
      <c r="D87" s="29" t="s">
        <v>18</v>
      </c>
      <c r="E87" s="38"/>
      <c r="F87" s="31">
        <v>1.2</v>
      </c>
      <c r="G87" s="31">
        <v>70</v>
      </c>
      <c r="H87" s="5">
        <f t="shared" si="2"/>
        <v>84</v>
      </c>
      <c r="I87" s="28" t="s">
        <v>165</v>
      </c>
    </row>
    <row r="88" spans="1:9" x14ac:dyDescent="0.25">
      <c r="A88" s="27">
        <v>45717</v>
      </c>
      <c r="C88" s="4" t="s">
        <v>166</v>
      </c>
      <c r="D88" s="9" t="s">
        <v>18</v>
      </c>
      <c r="E88" s="12"/>
      <c r="F88" s="31">
        <v>3</v>
      </c>
      <c r="G88" s="11">
        <v>90</v>
      </c>
      <c r="H88" s="5">
        <f t="shared" si="2"/>
        <v>270</v>
      </c>
      <c r="I88" s="28" t="s">
        <v>165</v>
      </c>
    </row>
    <row r="89" spans="1:9" x14ac:dyDescent="0.25">
      <c r="A89" s="27">
        <v>45717</v>
      </c>
      <c r="C89" s="4" t="s">
        <v>166</v>
      </c>
      <c r="D89" s="9" t="s">
        <v>18</v>
      </c>
      <c r="F89" s="2">
        <v>2.8</v>
      </c>
      <c r="G89" s="11">
        <v>120</v>
      </c>
      <c r="H89" s="5">
        <f t="shared" si="2"/>
        <v>336</v>
      </c>
      <c r="I89" s="28" t="s">
        <v>165</v>
      </c>
    </row>
    <row r="90" spans="1:9" x14ac:dyDescent="0.25">
      <c r="A90" s="27">
        <v>45717</v>
      </c>
      <c r="C90" s="4" t="s">
        <v>166</v>
      </c>
      <c r="D90" s="32" t="s">
        <v>18</v>
      </c>
      <c r="E90" s="3"/>
      <c r="F90" s="2">
        <v>1</v>
      </c>
      <c r="G90" s="13">
        <v>225</v>
      </c>
      <c r="H90" s="5">
        <f t="shared" si="2"/>
        <v>225</v>
      </c>
      <c r="I90" s="28" t="s">
        <v>165</v>
      </c>
    </row>
    <row r="91" spans="1:9" x14ac:dyDescent="0.25">
      <c r="A91" s="27">
        <v>45717</v>
      </c>
      <c r="C91" s="4" t="s">
        <v>166</v>
      </c>
      <c r="D91" s="34" t="s">
        <v>19</v>
      </c>
      <c r="E91" s="39">
        <v>542</v>
      </c>
      <c r="F91" s="8"/>
      <c r="G91" s="11">
        <v>180</v>
      </c>
      <c r="H91" s="5">
        <f t="shared" si="2"/>
        <v>97560</v>
      </c>
      <c r="I91" s="28" t="s">
        <v>165</v>
      </c>
    </row>
    <row r="92" spans="1:9" x14ac:dyDescent="0.25">
      <c r="A92" s="27">
        <v>45717</v>
      </c>
      <c r="C92" s="4" t="s">
        <v>166</v>
      </c>
      <c r="D92" s="34" t="s">
        <v>19</v>
      </c>
      <c r="E92" s="39">
        <v>727</v>
      </c>
      <c r="F92" s="11"/>
      <c r="G92" s="11">
        <v>250</v>
      </c>
      <c r="H92" s="5">
        <f t="shared" si="2"/>
        <v>181750</v>
      </c>
      <c r="I92" s="28" t="s">
        <v>165</v>
      </c>
    </row>
    <row r="93" spans="1:9" x14ac:dyDescent="0.25">
      <c r="A93" s="27">
        <v>45717</v>
      </c>
      <c r="C93" s="4" t="s">
        <v>166</v>
      </c>
      <c r="D93" s="32" t="s">
        <v>19</v>
      </c>
      <c r="E93" s="2">
        <v>549</v>
      </c>
      <c r="G93" s="13">
        <v>300</v>
      </c>
      <c r="H93" s="5">
        <f t="shared" si="2"/>
        <v>164700</v>
      </c>
      <c r="I93" s="28" t="s">
        <v>165</v>
      </c>
    </row>
    <row r="94" spans="1:9" x14ac:dyDescent="0.25">
      <c r="A94" s="27">
        <v>45717</v>
      </c>
      <c r="C94" s="4" t="s">
        <v>166</v>
      </c>
      <c r="D94" s="9" t="s">
        <v>20</v>
      </c>
      <c r="F94" s="2">
        <v>1.4</v>
      </c>
      <c r="G94" s="13">
        <v>1000</v>
      </c>
      <c r="H94" s="5">
        <f t="shared" si="2"/>
        <v>1400</v>
      </c>
      <c r="I94" s="28" t="s">
        <v>165</v>
      </c>
    </row>
    <row r="95" spans="1:9" x14ac:dyDescent="0.25">
      <c r="A95" s="27">
        <v>45717</v>
      </c>
      <c r="C95" s="4" t="s">
        <v>166</v>
      </c>
      <c r="D95" s="32" t="s">
        <v>21</v>
      </c>
      <c r="F95" s="2">
        <v>6.8</v>
      </c>
      <c r="G95" s="13">
        <v>190</v>
      </c>
      <c r="H95" s="5">
        <f t="shared" si="2"/>
        <v>1292</v>
      </c>
      <c r="I95" s="28" t="s">
        <v>165</v>
      </c>
    </row>
    <row r="96" spans="1:9" x14ac:dyDescent="0.25">
      <c r="A96" s="27">
        <v>45717</v>
      </c>
      <c r="C96" s="4" t="s">
        <v>166</v>
      </c>
      <c r="D96" s="32" t="s">
        <v>22</v>
      </c>
      <c r="F96" s="2">
        <v>0.65</v>
      </c>
      <c r="G96" s="13">
        <v>150</v>
      </c>
      <c r="H96" s="5">
        <f t="shared" si="2"/>
        <v>97.5</v>
      </c>
      <c r="I96" s="28" t="s">
        <v>165</v>
      </c>
    </row>
    <row r="97" spans="1:9" x14ac:dyDescent="0.25">
      <c r="A97" s="27">
        <v>45717</v>
      </c>
      <c r="C97" s="4" t="s">
        <v>166</v>
      </c>
      <c r="D97" s="9" t="s">
        <v>22</v>
      </c>
      <c r="E97" s="12"/>
      <c r="F97" s="8">
        <v>1.19</v>
      </c>
      <c r="G97" s="11">
        <v>161.57</v>
      </c>
      <c r="H97" s="5">
        <f t="shared" si="2"/>
        <v>192.26829999999998</v>
      </c>
      <c r="I97" s="28" t="s">
        <v>165</v>
      </c>
    </row>
    <row r="98" spans="1:9" x14ac:dyDescent="0.25">
      <c r="A98" s="27">
        <v>45717</v>
      </c>
      <c r="C98" s="4" t="s">
        <v>166</v>
      </c>
      <c r="D98" s="32" t="s">
        <v>23</v>
      </c>
      <c r="F98" s="2">
        <v>2</v>
      </c>
      <c r="G98" s="13">
        <v>120</v>
      </c>
      <c r="H98" s="5">
        <f t="shared" si="2"/>
        <v>240</v>
      </c>
      <c r="I98" s="28" t="s">
        <v>165</v>
      </c>
    </row>
    <row r="99" spans="1:9" x14ac:dyDescent="0.25">
      <c r="A99" s="27">
        <v>45717</v>
      </c>
      <c r="C99" s="4" t="s">
        <v>166</v>
      </c>
      <c r="D99" s="32" t="s">
        <v>24</v>
      </c>
      <c r="E99" s="10">
        <v>2</v>
      </c>
      <c r="F99" s="7"/>
      <c r="G99" s="13">
        <v>370</v>
      </c>
      <c r="H99" s="5">
        <f t="shared" si="2"/>
        <v>740</v>
      </c>
      <c r="I99" s="28" t="s">
        <v>165</v>
      </c>
    </row>
    <row r="100" spans="1:9" x14ac:dyDescent="0.25">
      <c r="A100" s="27">
        <v>45717</v>
      </c>
      <c r="C100" s="4" t="s">
        <v>166</v>
      </c>
      <c r="D100" s="34" t="s">
        <v>24</v>
      </c>
      <c r="E100" s="14">
        <v>2</v>
      </c>
      <c r="F100" s="11"/>
      <c r="G100" s="11">
        <v>1100</v>
      </c>
      <c r="H100" s="5">
        <f t="shared" si="2"/>
        <v>2200</v>
      </c>
      <c r="I100" s="28" t="s">
        <v>165</v>
      </c>
    </row>
    <row r="101" spans="1:9" x14ac:dyDescent="0.25">
      <c r="A101" s="27">
        <v>45717</v>
      </c>
      <c r="C101" s="4" t="s">
        <v>166</v>
      </c>
      <c r="D101" s="34" t="s">
        <v>25</v>
      </c>
      <c r="E101" s="14">
        <v>1</v>
      </c>
      <c r="F101" s="11"/>
      <c r="G101" s="34">
        <v>1300</v>
      </c>
      <c r="H101" s="5">
        <f t="shared" si="2"/>
        <v>1300</v>
      </c>
      <c r="I101" s="28" t="s">
        <v>165</v>
      </c>
    </row>
    <row r="102" spans="1:9" x14ac:dyDescent="0.25">
      <c r="A102" s="27">
        <v>45717</v>
      </c>
      <c r="C102" s="4" t="s">
        <v>166</v>
      </c>
      <c r="D102" s="32" t="s">
        <v>26</v>
      </c>
      <c r="F102" s="2">
        <v>2.75</v>
      </c>
      <c r="G102" s="13">
        <v>320</v>
      </c>
      <c r="H102" s="5">
        <f t="shared" si="2"/>
        <v>880</v>
      </c>
      <c r="I102" s="28" t="s">
        <v>165</v>
      </c>
    </row>
    <row r="103" spans="1:9" x14ac:dyDescent="0.25">
      <c r="A103" s="27">
        <v>45717</v>
      </c>
      <c r="C103" s="4" t="s">
        <v>166</v>
      </c>
      <c r="D103" s="32" t="s">
        <v>26</v>
      </c>
      <c r="F103" s="2">
        <v>21.89</v>
      </c>
      <c r="G103" s="13">
        <v>450</v>
      </c>
      <c r="H103" s="5">
        <f t="shared" si="2"/>
        <v>9850.5</v>
      </c>
      <c r="I103" s="28" t="s">
        <v>165</v>
      </c>
    </row>
    <row r="104" spans="1:9" x14ac:dyDescent="0.25">
      <c r="A104" s="27">
        <v>45717</v>
      </c>
      <c r="C104" s="4" t="s">
        <v>166</v>
      </c>
      <c r="D104" s="32" t="s">
        <v>26</v>
      </c>
      <c r="E104" s="14"/>
      <c r="F104" s="11">
        <v>28.5</v>
      </c>
      <c r="G104" s="11">
        <v>800</v>
      </c>
      <c r="H104" s="5">
        <f t="shared" si="2"/>
        <v>22800</v>
      </c>
      <c r="I104" s="28" t="s">
        <v>165</v>
      </c>
    </row>
    <row r="105" spans="1:9" x14ac:dyDescent="0.25">
      <c r="A105" s="27">
        <v>45717</v>
      </c>
      <c r="C105" s="4" t="s">
        <v>166</v>
      </c>
      <c r="D105" s="9" t="s">
        <v>27</v>
      </c>
      <c r="E105" s="30"/>
      <c r="F105" s="8">
        <v>2</v>
      </c>
      <c r="G105" s="11">
        <v>4</v>
      </c>
      <c r="H105" s="5">
        <f t="shared" si="2"/>
        <v>8</v>
      </c>
      <c r="I105" s="28" t="s">
        <v>165</v>
      </c>
    </row>
    <row r="106" spans="1:9" x14ac:dyDescent="0.25">
      <c r="A106" s="27">
        <v>45717</v>
      </c>
      <c r="C106" s="4" t="s">
        <v>166</v>
      </c>
      <c r="D106" s="32" t="s">
        <v>28</v>
      </c>
      <c r="E106" s="10">
        <v>1</v>
      </c>
      <c r="F106" s="7"/>
      <c r="G106" s="13">
        <v>500</v>
      </c>
      <c r="H106" s="5">
        <f t="shared" si="2"/>
        <v>500</v>
      </c>
      <c r="I106" s="28" t="s">
        <v>165</v>
      </c>
    </row>
    <row r="107" spans="1:9" x14ac:dyDescent="0.25">
      <c r="A107" s="40">
        <v>45720</v>
      </c>
      <c r="B107" s="14" t="s">
        <v>29</v>
      </c>
      <c r="C107" s="15" t="s">
        <v>30</v>
      </c>
      <c r="D107" s="15" t="s">
        <v>15</v>
      </c>
      <c r="E107" s="12"/>
      <c r="F107" s="8">
        <v>-10</v>
      </c>
      <c r="G107" s="11">
        <v>400</v>
      </c>
      <c r="H107" s="5">
        <f t="shared" si="2"/>
        <v>-4000</v>
      </c>
    </row>
    <row r="108" spans="1:9" x14ac:dyDescent="0.25">
      <c r="A108" s="40">
        <v>45722</v>
      </c>
      <c r="B108" s="14" t="s">
        <v>31</v>
      </c>
      <c r="C108" s="15" t="s">
        <v>30</v>
      </c>
      <c r="D108" s="9" t="s">
        <v>15</v>
      </c>
      <c r="E108" s="12"/>
      <c r="F108" s="8">
        <v>-20</v>
      </c>
      <c r="G108" s="8">
        <v>450</v>
      </c>
      <c r="H108" s="5">
        <f t="shared" si="2"/>
        <v>-9000</v>
      </c>
    </row>
    <row r="109" spans="1:9" x14ac:dyDescent="0.25">
      <c r="A109" s="40">
        <v>45722</v>
      </c>
      <c r="B109" s="14" t="s">
        <v>31</v>
      </c>
      <c r="C109" s="15" t="s">
        <v>30</v>
      </c>
      <c r="D109" s="9" t="s">
        <v>2</v>
      </c>
      <c r="E109" s="12"/>
      <c r="F109" s="8">
        <v>-4.2</v>
      </c>
      <c r="G109" s="11">
        <v>800</v>
      </c>
      <c r="H109" s="5">
        <f t="shared" si="2"/>
        <v>-3360</v>
      </c>
    </row>
    <row r="110" spans="1:9" x14ac:dyDescent="0.25">
      <c r="A110" s="40">
        <v>45722</v>
      </c>
      <c r="B110" s="14" t="s">
        <v>31</v>
      </c>
      <c r="C110" s="15" t="s">
        <v>30</v>
      </c>
      <c r="D110" s="15" t="s">
        <v>26</v>
      </c>
      <c r="E110" s="12"/>
      <c r="F110" s="8">
        <v>-0.5</v>
      </c>
      <c r="G110" s="11">
        <v>900</v>
      </c>
      <c r="H110" s="5">
        <f t="shared" si="2"/>
        <v>-450</v>
      </c>
    </row>
    <row r="111" spans="1:9" x14ac:dyDescent="0.25">
      <c r="A111" s="40">
        <v>45722</v>
      </c>
      <c r="B111" s="14" t="s">
        <v>31</v>
      </c>
      <c r="C111" s="15" t="s">
        <v>30</v>
      </c>
      <c r="D111" s="34" t="s">
        <v>26</v>
      </c>
      <c r="E111" s="14"/>
      <c r="F111" s="8">
        <v>-1.5</v>
      </c>
      <c r="G111" s="11">
        <v>900</v>
      </c>
      <c r="H111" s="5">
        <f t="shared" si="2"/>
        <v>-1350</v>
      </c>
    </row>
    <row r="112" spans="1:9" ht="12.15" customHeight="1" x14ac:dyDescent="0.25">
      <c r="A112" s="40">
        <v>45722</v>
      </c>
      <c r="B112" s="14" t="s">
        <v>31</v>
      </c>
      <c r="C112" s="15" t="s">
        <v>30</v>
      </c>
      <c r="D112" s="16" t="s">
        <v>0</v>
      </c>
      <c r="E112" s="14"/>
      <c r="F112" s="8">
        <v>-4</v>
      </c>
      <c r="G112" s="22">
        <v>1000</v>
      </c>
      <c r="H112" s="5">
        <f t="shared" si="2"/>
        <v>-4000</v>
      </c>
    </row>
    <row r="113" spans="1:8" ht="12.15" hidden="1" customHeight="1" x14ac:dyDescent="0.25">
      <c r="A113" s="40">
        <v>45723</v>
      </c>
      <c r="B113" s="14" t="s">
        <v>32</v>
      </c>
      <c r="C113" s="15" t="s">
        <v>30</v>
      </c>
      <c r="D113" s="9" t="s">
        <v>15</v>
      </c>
      <c r="E113" s="12"/>
      <c r="F113" s="8">
        <v>-20</v>
      </c>
      <c r="G113" s="11">
        <v>450</v>
      </c>
      <c r="H113" s="5">
        <f t="shared" si="2"/>
        <v>-9000</v>
      </c>
    </row>
    <row r="114" spans="1:8" ht="12.15" hidden="1" customHeight="1" x14ac:dyDescent="0.25">
      <c r="A114" s="40">
        <v>45723</v>
      </c>
      <c r="B114" s="14" t="s">
        <v>32</v>
      </c>
      <c r="C114" s="15" t="s">
        <v>30</v>
      </c>
      <c r="D114" s="9" t="s">
        <v>2</v>
      </c>
      <c r="E114" s="12"/>
      <c r="F114" s="17">
        <v>-1.4</v>
      </c>
      <c r="G114" s="11">
        <v>800</v>
      </c>
      <c r="H114" s="5">
        <f t="shared" si="2"/>
        <v>-1120</v>
      </c>
    </row>
    <row r="115" spans="1:8" ht="12.15" hidden="1" customHeight="1" x14ac:dyDescent="0.25">
      <c r="A115" s="40">
        <v>45723</v>
      </c>
      <c r="B115" s="14" t="s">
        <v>32</v>
      </c>
      <c r="C115" s="15" t="s">
        <v>30</v>
      </c>
      <c r="D115" s="35" t="s">
        <v>5</v>
      </c>
      <c r="E115" s="12"/>
      <c r="F115" s="8">
        <v>-0.7</v>
      </c>
      <c r="G115" s="11">
        <v>900</v>
      </c>
      <c r="H115" s="5">
        <f t="shared" si="2"/>
        <v>-630</v>
      </c>
    </row>
    <row r="116" spans="1:8" ht="12.15" hidden="1" customHeight="1" x14ac:dyDescent="0.25">
      <c r="A116" s="40">
        <v>45724</v>
      </c>
      <c r="B116" s="14" t="s">
        <v>33</v>
      </c>
      <c r="C116" s="15" t="s">
        <v>30</v>
      </c>
      <c r="D116" s="9" t="s">
        <v>15</v>
      </c>
      <c r="E116" s="12"/>
      <c r="F116" s="8">
        <v>-20</v>
      </c>
      <c r="G116" s="11">
        <v>470</v>
      </c>
      <c r="H116" s="5">
        <f t="shared" si="2"/>
        <v>-9400</v>
      </c>
    </row>
    <row r="117" spans="1:8" ht="12.15" hidden="1" customHeight="1" x14ac:dyDescent="0.25">
      <c r="A117" s="40">
        <v>45724</v>
      </c>
      <c r="B117" s="14" t="s">
        <v>33</v>
      </c>
      <c r="C117" s="15" t="s">
        <v>30</v>
      </c>
      <c r="D117" s="9" t="s">
        <v>26</v>
      </c>
      <c r="E117" s="12"/>
      <c r="F117" s="8">
        <v>-0.9</v>
      </c>
      <c r="G117" s="11">
        <v>700</v>
      </c>
      <c r="H117" s="5">
        <f t="shared" si="2"/>
        <v>-630</v>
      </c>
    </row>
    <row r="118" spans="1:8" ht="12.15" hidden="1" customHeight="1" x14ac:dyDescent="0.25">
      <c r="A118" s="40">
        <v>45724</v>
      </c>
      <c r="B118" s="14" t="s">
        <v>33</v>
      </c>
      <c r="C118" s="15" t="s">
        <v>30</v>
      </c>
      <c r="D118" s="9" t="s">
        <v>5</v>
      </c>
      <c r="E118" s="12"/>
      <c r="F118" s="8">
        <v>-3.6</v>
      </c>
      <c r="G118" s="11">
        <v>1100</v>
      </c>
      <c r="H118" s="5">
        <f t="shared" si="2"/>
        <v>-3960</v>
      </c>
    </row>
    <row r="119" spans="1:8" ht="12.15" hidden="1" customHeight="1" x14ac:dyDescent="0.25">
      <c r="A119" s="40">
        <v>45724</v>
      </c>
      <c r="B119" s="14" t="s">
        <v>33</v>
      </c>
      <c r="C119" s="15" t="s">
        <v>30</v>
      </c>
      <c r="D119" s="9" t="s">
        <v>2</v>
      </c>
      <c r="E119" s="12"/>
      <c r="F119" s="17">
        <v>-3.3</v>
      </c>
      <c r="G119" s="11">
        <v>800</v>
      </c>
      <c r="H119" s="5">
        <f t="shared" si="2"/>
        <v>-2640</v>
      </c>
    </row>
    <row r="120" spans="1:8" ht="12.15" hidden="1" customHeight="1" x14ac:dyDescent="0.25">
      <c r="A120" s="40">
        <v>45728</v>
      </c>
      <c r="B120" s="14" t="s">
        <v>34</v>
      </c>
      <c r="C120" s="15" t="s">
        <v>30</v>
      </c>
      <c r="D120" s="9" t="s">
        <v>15</v>
      </c>
      <c r="E120" s="12"/>
      <c r="F120" s="8">
        <v>-10</v>
      </c>
      <c r="G120" s="11">
        <v>400</v>
      </c>
      <c r="H120" s="5">
        <f t="shared" si="2"/>
        <v>-4000</v>
      </c>
    </row>
    <row r="121" spans="1:8" ht="12.15" hidden="1" customHeight="1" x14ac:dyDescent="0.25">
      <c r="A121" s="40">
        <v>45728</v>
      </c>
      <c r="B121" s="14" t="s">
        <v>34</v>
      </c>
      <c r="C121" s="15" t="s">
        <v>30</v>
      </c>
      <c r="D121" s="34" t="s">
        <v>2</v>
      </c>
      <c r="E121" s="14"/>
      <c r="F121" s="11">
        <v>-5</v>
      </c>
      <c r="G121" s="34">
        <v>800</v>
      </c>
      <c r="H121" s="5">
        <f t="shared" si="2"/>
        <v>-4000</v>
      </c>
    </row>
    <row r="122" spans="1:8" ht="12.15" hidden="1" customHeight="1" x14ac:dyDescent="0.25">
      <c r="A122" s="40">
        <v>45729</v>
      </c>
      <c r="B122" s="14" t="s">
        <v>35</v>
      </c>
      <c r="C122" s="15" t="s">
        <v>30</v>
      </c>
      <c r="D122" s="9" t="s">
        <v>15</v>
      </c>
      <c r="E122" s="12"/>
      <c r="F122" s="17">
        <v>-20</v>
      </c>
      <c r="G122" s="11">
        <v>480</v>
      </c>
      <c r="H122" s="5">
        <f t="shared" si="2"/>
        <v>-9600</v>
      </c>
    </row>
    <row r="123" spans="1:8" ht="12.15" hidden="1" customHeight="1" x14ac:dyDescent="0.25">
      <c r="A123" s="40">
        <v>45729</v>
      </c>
      <c r="B123" s="14" t="s">
        <v>35</v>
      </c>
      <c r="C123" s="15" t="s">
        <v>30</v>
      </c>
      <c r="D123" s="9" t="s">
        <v>5</v>
      </c>
      <c r="E123" s="12"/>
      <c r="F123" s="8">
        <v>-2.5</v>
      </c>
      <c r="G123" s="11">
        <v>900</v>
      </c>
      <c r="H123" s="5">
        <f t="shared" si="2"/>
        <v>-2250</v>
      </c>
    </row>
    <row r="124" spans="1:8" ht="12.15" hidden="1" customHeight="1" x14ac:dyDescent="0.25">
      <c r="A124" s="40">
        <v>45729</v>
      </c>
      <c r="B124" s="14" t="s">
        <v>35</v>
      </c>
      <c r="C124" s="15" t="s">
        <v>30</v>
      </c>
      <c r="D124" s="9" t="s">
        <v>8</v>
      </c>
      <c r="E124" s="12"/>
      <c r="F124" s="8">
        <v>-3</v>
      </c>
      <c r="G124" s="11">
        <v>900</v>
      </c>
      <c r="H124" s="5">
        <f t="shared" si="2"/>
        <v>-2700</v>
      </c>
    </row>
    <row r="125" spans="1:8" ht="12.15" customHeight="1" x14ac:dyDescent="0.25">
      <c r="A125" s="40">
        <v>45729</v>
      </c>
      <c r="B125" s="14" t="s">
        <v>35</v>
      </c>
      <c r="C125" s="15" t="s">
        <v>30</v>
      </c>
      <c r="D125" s="32" t="s">
        <v>0</v>
      </c>
      <c r="F125" s="2">
        <v>-3</v>
      </c>
      <c r="G125" s="33">
        <v>1100</v>
      </c>
      <c r="H125" s="5">
        <f t="shared" si="2"/>
        <v>-3300</v>
      </c>
    </row>
    <row r="126" spans="1:8" ht="12.15" hidden="1" customHeight="1" x14ac:dyDescent="0.25">
      <c r="A126" s="27">
        <v>45730</v>
      </c>
      <c r="B126" s="3" t="s">
        <v>36</v>
      </c>
      <c r="C126" s="4" t="s">
        <v>30</v>
      </c>
      <c r="D126" s="32" t="s">
        <v>15</v>
      </c>
      <c r="F126" s="2">
        <v>-10</v>
      </c>
      <c r="G126" s="13">
        <v>470</v>
      </c>
      <c r="H126" s="5">
        <f t="shared" si="2"/>
        <v>-4700</v>
      </c>
    </row>
    <row r="127" spans="1:8" ht="12.15" hidden="1" customHeight="1" x14ac:dyDescent="0.25">
      <c r="A127" s="27">
        <v>45730</v>
      </c>
      <c r="B127" s="3" t="s">
        <v>36</v>
      </c>
      <c r="C127" s="4" t="s">
        <v>30</v>
      </c>
      <c r="D127" s="9" t="s">
        <v>15</v>
      </c>
      <c r="E127" s="12"/>
      <c r="F127" s="8">
        <v>-20</v>
      </c>
      <c r="G127" s="11">
        <v>320</v>
      </c>
      <c r="H127" s="5">
        <f t="shared" si="2"/>
        <v>-6400</v>
      </c>
    </row>
    <row r="128" spans="1:8" ht="12.15" hidden="1" customHeight="1" x14ac:dyDescent="0.25">
      <c r="A128" s="40">
        <v>45731</v>
      </c>
      <c r="B128" s="14" t="s">
        <v>37</v>
      </c>
      <c r="C128" s="15" t="s">
        <v>30</v>
      </c>
      <c r="D128" s="9" t="s">
        <v>15</v>
      </c>
      <c r="E128" s="12"/>
      <c r="F128" s="8">
        <v>-10</v>
      </c>
      <c r="G128" s="11">
        <v>380</v>
      </c>
      <c r="H128" s="5">
        <f t="shared" si="2"/>
        <v>-3800</v>
      </c>
    </row>
    <row r="129" spans="1:8" ht="12.15" customHeight="1" x14ac:dyDescent="0.25">
      <c r="A129" s="40">
        <v>45731</v>
      </c>
      <c r="B129" s="14" t="s">
        <v>37</v>
      </c>
      <c r="C129" s="15" t="s">
        <v>30</v>
      </c>
      <c r="D129" s="34" t="s">
        <v>0</v>
      </c>
      <c r="E129" s="14"/>
      <c r="F129" s="8">
        <v>-3.5</v>
      </c>
      <c r="G129" s="22">
        <v>1600</v>
      </c>
      <c r="H129" s="5">
        <f t="shared" si="2"/>
        <v>-5600</v>
      </c>
    </row>
    <row r="130" spans="1:8" ht="12.15" hidden="1" customHeight="1" x14ac:dyDescent="0.25">
      <c r="A130" s="40">
        <v>45733</v>
      </c>
      <c r="B130" s="14" t="s">
        <v>38</v>
      </c>
      <c r="C130" s="15" t="s">
        <v>30</v>
      </c>
      <c r="D130" s="9" t="s">
        <v>2</v>
      </c>
      <c r="E130" s="14"/>
      <c r="F130" s="8">
        <v>-2.5</v>
      </c>
      <c r="G130" s="11">
        <v>900</v>
      </c>
      <c r="H130" s="5">
        <f t="shared" si="2"/>
        <v>-2250</v>
      </c>
    </row>
    <row r="131" spans="1:8" ht="12.15" hidden="1" customHeight="1" x14ac:dyDescent="0.25">
      <c r="A131" s="40">
        <v>45733</v>
      </c>
      <c r="B131" s="14" t="s">
        <v>38</v>
      </c>
      <c r="C131" s="15" t="s">
        <v>30</v>
      </c>
      <c r="D131" s="9" t="s">
        <v>15</v>
      </c>
      <c r="E131" s="12"/>
      <c r="F131" s="8">
        <v>-20</v>
      </c>
      <c r="G131" s="11">
        <v>400</v>
      </c>
      <c r="H131" s="5">
        <f t="shared" si="2"/>
        <v>-8000</v>
      </c>
    </row>
    <row r="132" spans="1:8" ht="12.15" hidden="1" customHeight="1" x14ac:dyDescent="0.25">
      <c r="A132" s="40">
        <v>45733</v>
      </c>
      <c r="B132" s="14" t="s">
        <v>38</v>
      </c>
      <c r="C132" s="15" t="s">
        <v>30</v>
      </c>
      <c r="D132" s="32" t="s">
        <v>14</v>
      </c>
      <c r="F132" s="2">
        <v>-4</v>
      </c>
      <c r="G132" s="13">
        <v>1100</v>
      </c>
      <c r="H132" s="5">
        <f t="shared" si="2"/>
        <v>-4400</v>
      </c>
    </row>
    <row r="133" spans="1:8" ht="12.15" hidden="1" customHeight="1" x14ac:dyDescent="0.25">
      <c r="A133" s="40">
        <v>45733</v>
      </c>
      <c r="B133" s="14" t="s">
        <v>38</v>
      </c>
      <c r="C133" s="15" t="s">
        <v>30</v>
      </c>
      <c r="D133" s="32" t="s">
        <v>26</v>
      </c>
      <c r="F133" s="2">
        <v>-3.5</v>
      </c>
      <c r="G133" s="13">
        <v>900</v>
      </c>
      <c r="H133" s="5">
        <f t="shared" si="2"/>
        <v>-3150</v>
      </c>
    </row>
    <row r="134" spans="1:8" ht="12.15" hidden="1" customHeight="1" x14ac:dyDescent="0.25">
      <c r="A134" s="40">
        <v>45733</v>
      </c>
      <c r="B134" s="14" t="s">
        <v>38</v>
      </c>
      <c r="C134" s="15" t="s">
        <v>30</v>
      </c>
      <c r="D134" s="34" t="s">
        <v>10</v>
      </c>
      <c r="E134" s="36"/>
      <c r="F134" s="11">
        <v>-3</v>
      </c>
      <c r="G134" s="11">
        <v>1200</v>
      </c>
      <c r="H134" s="5">
        <f t="shared" si="2"/>
        <v>-3600</v>
      </c>
    </row>
    <row r="135" spans="1:8" ht="12.15" customHeight="1" x14ac:dyDescent="0.25">
      <c r="A135" s="27">
        <v>45733</v>
      </c>
      <c r="B135" s="3" t="s">
        <v>39</v>
      </c>
      <c r="C135" s="4" t="s">
        <v>30</v>
      </c>
      <c r="D135" s="32" t="s">
        <v>0</v>
      </c>
      <c r="F135" s="2">
        <v>-3</v>
      </c>
      <c r="G135" s="33">
        <v>1000</v>
      </c>
      <c r="H135" s="5">
        <f t="shared" si="2"/>
        <v>-3000</v>
      </c>
    </row>
    <row r="136" spans="1:8" ht="12.15" hidden="1" customHeight="1" x14ac:dyDescent="0.25">
      <c r="A136" s="40">
        <v>45735</v>
      </c>
      <c r="B136" s="14" t="s">
        <v>40</v>
      </c>
      <c r="C136" s="15" t="s">
        <v>30</v>
      </c>
      <c r="D136" s="35" t="s">
        <v>5</v>
      </c>
      <c r="E136" s="12"/>
      <c r="F136" s="8">
        <v>-2</v>
      </c>
      <c r="G136" s="11">
        <v>700</v>
      </c>
      <c r="H136" s="5">
        <f t="shared" ref="H136:H199" si="3">(E136*G136)+(F136*G136)</f>
        <v>-1400</v>
      </c>
    </row>
    <row r="137" spans="1:8" ht="12.15" hidden="1" customHeight="1" x14ac:dyDescent="0.25">
      <c r="A137" s="40">
        <v>45736</v>
      </c>
      <c r="B137" s="14" t="s">
        <v>41</v>
      </c>
      <c r="C137" s="15" t="s">
        <v>30</v>
      </c>
      <c r="D137" s="9" t="s">
        <v>15</v>
      </c>
      <c r="E137" s="12"/>
      <c r="F137" s="8">
        <v>-10</v>
      </c>
      <c r="G137" s="11">
        <v>470</v>
      </c>
      <c r="H137" s="5">
        <f t="shared" si="3"/>
        <v>-4700</v>
      </c>
    </row>
    <row r="138" spans="1:8" ht="12.15" hidden="1" customHeight="1" x14ac:dyDescent="0.25">
      <c r="A138" s="40">
        <v>45736</v>
      </c>
      <c r="B138" s="14" t="s">
        <v>41</v>
      </c>
      <c r="C138" s="15" t="s">
        <v>30</v>
      </c>
      <c r="D138" s="34" t="s">
        <v>2</v>
      </c>
      <c r="E138" s="14"/>
      <c r="F138" s="8">
        <v>-5.3</v>
      </c>
      <c r="G138" s="11">
        <v>800</v>
      </c>
      <c r="H138" s="5">
        <f t="shared" si="3"/>
        <v>-4240</v>
      </c>
    </row>
    <row r="139" spans="1:8" ht="12.15" hidden="1" customHeight="1" x14ac:dyDescent="0.25">
      <c r="A139" s="40">
        <v>45736</v>
      </c>
      <c r="B139" s="14" t="s">
        <v>41</v>
      </c>
      <c r="C139" s="15" t="s">
        <v>30</v>
      </c>
      <c r="D139" s="32" t="s">
        <v>15</v>
      </c>
      <c r="E139" s="3"/>
      <c r="F139" s="2">
        <v>-10</v>
      </c>
      <c r="G139" s="13">
        <v>400</v>
      </c>
      <c r="H139" s="5">
        <f t="shared" si="3"/>
        <v>-4000</v>
      </c>
    </row>
    <row r="140" spans="1:8" ht="12.15" hidden="1" customHeight="1" x14ac:dyDescent="0.25">
      <c r="A140" s="40">
        <v>45737</v>
      </c>
      <c r="B140" s="14" t="s">
        <v>42</v>
      </c>
      <c r="C140" s="15" t="s">
        <v>30</v>
      </c>
      <c r="D140" s="9" t="s">
        <v>15</v>
      </c>
      <c r="E140" s="12"/>
      <c r="F140" s="17">
        <v>-10</v>
      </c>
      <c r="G140" s="11">
        <v>400</v>
      </c>
      <c r="H140" s="5">
        <f t="shared" si="3"/>
        <v>-4000</v>
      </c>
    </row>
    <row r="141" spans="1:8" ht="12.15" customHeight="1" x14ac:dyDescent="0.25">
      <c r="A141" s="40">
        <v>45737</v>
      </c>
      <c r="B141" s="14" t="s">
        <v>42</v>
      </c>
      <c r="C141" s="15" t="s">
        <v>30</v>
      </c>
      <c r="D141" s="9" t="s">
        <v>0</v>
      </c>
      <c r="E141" s="12"/>
      <c r="F141" s="8">
        <v>-3</v>
      </c>
      <c r="G141" s="22">
        <v>1200</v>
      </c>
      <c r="H141" s="5">
        <f t="shared" si="3"/>
        <v>-3600</v>
      </c>
    </row>
    <row r="142" spans="1:8" ht="12.15" hidden="1" customHeight="1" x14ac:dyDescent="0.25">
      <c r="A142" s="40">
        <v>45738</v>
      </c>
      <c r="B142" s="14" t="s">
        <v>43</v>
      </c>
      <c r="C142" s="15" t="s">
        <v>30</v>
      </c>
      <c r="D142" s="34" t="s">
        <v>15</v>
      </c>
      <c r="E142" s="14"/>
      <c r="F142" s="11">
        <v>-10</v>
      </c>
      <c r="G142" s="34">
        <v>400</v>
      </c>
      <c r="H142" s="5">
        <f t="shared" si="3"/>
        <v>-4000</v>
      </c>
    </row>
    <row r="143" spans="1:8" ht="12.15" hidden="1" customHeight="1" x14ac:dyDescent="0.25">
      <c r="A143" s="40">
        <v>45738</v>
      </c>
      <c r="B143" s="14" t="s">
        <v>43</v>
      </c>
      <c r="C143" s="15" t="s">
        <v>30</v>
      </c>
      <c r="D143" s="9" t="s">
        <v>26</v>
      </c>
      <c r="E143" s="12"/>
      <c r="F143" s="17">
        <v>-2.8</v>
      </c>
      <c r="G143" s="11">
        <v>800</v>
      </c>
      <c r="H143" s="5">
        <f t="shared" si="3"/>
        <v>-2240</v>
      </c>
    </row>
    <row r="144" spans="1:8" ht="12.15" hidden="1" customHeight="1" x14ac:dyDescent="0.25">
      <c r="A144" s="40">
        <v>45738</v>
      </c>
      <c r="B144" s="14" t="s">
        <v>43</v>
      </c>
      <c r="C144" s="15" t="s">
        <v>30</v>
      </c>
      <c r="D144" s="9" t="s">
        <v>2</v>
      </c>
      <c r="E144" s="12"/>
      <c r="F144" s="8">
        <v>-0.8</v>
      </c>
      <c r="G144" s="11">
        <v>800</v>
      </c>
      <c r="H144" s="5">
        <f t="shared" si="3"/>
        <v>-640</v>
      </c>
    </row>
    <row r="145" spans="1:8" ht="12.15" customHeight="1" x14ac:dyDescent="0.25">
      <c r="A145" s="27">
        <v>45741</v>
      </c>
      <c r="B145" s="3" t="s">
        <v>44</v>
      </c>
      <c r="C145" s="4" t="s">
        <v>30</v>
      </c>
      <c r="D145" s="29" t="s">
        <v>0</v>
      </c>
      <c r="E145" s="30"/>
      <c r="F145" s="31">
        <v>-3</v>
      </c>
      <c r="G145" s="41">
        <v>1200</v>
      </c>
      <c r="H145" s="5">
        <f t="shared" si="3"/>
        <v>-3600</v>
      </c>
    </row>
    <row r="146" spans="1:8" ht="12.15" customHeight="1" x14ac:dyDescent="0.25">
      <c r="A146" s="27">
        <v>45742</v>
      </c>
      <c r="B146" s="3" t="s">
        <v>45</v>
      </c>
      <c r="C146" s="4" t="s">
        <v>46</v>
      </c>
      <c r="D146" s="29" t="s">
        <v>0</v>
      </c>
      <c r="F146" s="2">
        <v>9</v>
      </c>
      <c r="G146" s="33">
        <v>800</v>
      </c>
      <c r="H146" s="5">
        <f t="shared" si="3"/>
        <v>7200</v>
      </c>
    </row>
    <row r="147" spans="1:8" ht="12.15" customHeight="1" x14ac:dyDescent="0.25">
      <c r="A147" s="27">
        <v>45742</v>
      </c>
      <c r="B147" s="3" t="s">
        <v>45</v>
      </c>
      <c r="C147" s="4" t="s">
        <v>46</v>
      </c>
      <c r="D147" s="29" t="s">
        <v>0</v>
      </c>
      <c r="F147" s="2">
        <v>12</v>
      </c>
      <c r="G147" s="33">
        <v>1000</v>
      </c>
      <c r="H147" s="5">
        <f t="shared" si="3"/>
        <v>12000</v>
      </c>
    </row>
    <row r="148" spans="1:8" ht="12.15" customHeight="1" x14ac:dyDescent="0.25">
      <c r="A148" s="27">
        <v>45742</v>
      </c>
      <c r="B148" s="3" t="s">
        <v>45</v>
      </c>
      <c r="C148" s="4" t="s">
        <v>46</v>
      </c>
      <c r="D148" s="32" t="s">
        <v>0</v>
      </c>
      <c r="F148" s="2">
        <v>6</v>
      </c>
      <c r="G148" s="33">
        <v>1200</v>
      </c>
      <c r="H148" s="5">
        <f t="shared" si="3"/>
        <v>7200</v>
      </c>
    </row>
    <row r="149" spans="1:8" ht="12.15" customHeight="1" x14ac:dyDescent="0.25">
      <c r="A149" s="27">
        <v>45742</v>
      </c>
      <c r="B149" s="3" t="s">
        <v>45</v>
      </c>
      <c r="C149" s="4" t="s">
        <v>46</v>
      </c>
      <c r="D149" s="32" t="s">
        <v>0</v>
      </c>
      <c r="F149" s="2">
        <v>3</v>
      </c>
      <c r="G149" s="33">
        <v>1300</v>
      </c>
      <c r="H149" s="5">
        <f t="shared" si="3"/>
        <v>3900</v>
      </c>
    </row>
    <row r="150" spans="1:8" x14ac:dyDescent="0.25">
      <c r="A150" s="27">
        <v>45742</v>
      </c>
      <c r="B150" s="3" t="s">
        <v>45</v>
      </c>
      <c r="C150" s="4" t="s">
        <v>46</v>
      </c>
      <c r="D150" s="34" t="s">
        <v>0</v>
      </c>
      <c r="E150" s="14"/>
      <c r="F150" s="11">
        <v>23</v>
      </c>
      <c r="G150" s="22">
        <v>600</v>
      </c>
      <c r="H150" s="5">
        <f t="shared" si="3"/>
        <v>13800</v>
      </c>
    </row>
    <row r="151" spans="1:8" x14ac:dyDescent="0.25">
      <c r="A151" s="27">
        <v>45742</v>
      </c>
      <c r="B151" s="3" t="s">
        <v>45</v>
      </c>
      <c r="C151" s="4" t="s">
        <v>46</v>
      </c>
      <c r="D151" s="9" t="s">
        <v>4</v>
      </c>
      <c r="E151" s="12"/>
      <c r="F151" s="8">
        <v>8</v>
      </c>
      <c r="G151" s="11">
        <v>300</v>
      </c>
      <c r="H151" s="5">
        <f t="shared" si="3"/>
        <v>2400</v>
      </c>
    </row>
    <row r="152" spans="1:8" x14ac:dyDescent="0.25">
      <c r="A152" s="27">
        <v>45742</v>
      </c>
      <c r="B152" s="3" t="s">
        <v>45</v>
      </c>
      <c r="C152" s="4" t="s">
        <v>46</v>
      </c>
      <c r="D152" s="9" t="s">
        <v>4</v>
      </c>
      <c r="E152" s="12"/>
      <c r="F152" s="8">
        <v>3</v>
      </c>
      <c r="G152" s="11">
        <v>500</v>
      </c>
      <c r="H152" s="5">
        <f t="shared" si="3"/>
        <v>1500</v>
      </c>
    </row>
    <row r="153" spans="1:8" x14ac:dyDescent="0.25">
      <c r="A153" s="27">
        <v>45742</v>
      </c>
      <c r="B153" s="3" t="s">
        <v>45</v>
      </c>
      <c r="C153" s="4" t="s">
        <v>46</v>
      </c>
      <c r="D153" s="9" t="s">
        <v>4</v>
      </c>
      <c r="E153" s="12"/>
      <c r="F153" s="8">
        <v>1.5</v>
      </c>
      <c r="G153" s="8">
        <v>800</v>
      </c>
      <c r="H153" s="5">
        <f t="shared" si="3"/>
        <v>1200</v>
      </c>
    </row>
    <row r="154" spans="1:8" x14ac:dyDescent="0.25">
      <c r="A154" s="27">
        <v>45742</v>
      </c>
      <c r="B154" s="3" t="s">
        <v>45</v>
      </c>
      <c r="C154" s="4" t="s">
        <v>46</v>
      </c>
      <c r="D154" s="9" t="s">
        <v>5</v>
      </c>
      <c r="E154" s="12"/>
      <c r="F154" s="8">
        <v>3.5</v>
      </c>
      <c r="G154" s="11">
        <v>500</v>
      </c>
      <c r="H154" s="5">
        <f t="shared" si="3"/>
        <v>1750</v>
      </c>
    </row>
    <row r="155" spans="1:8" x14ac:dyDescent="0.25">
      <c r="A155" s="27">
        <v>45742</v>
      </c>
      <c r="B155" s="3" t="s">
        <v>45</v>
      </c>
      <c r="C155" s="4" t="s">
        <v>46</v>
      </c>
      <c r="D155" s="9" t="s">
        <v>5</v>
      </c>
      <c r="E155" s="12"/>
      <c r="F155" s="8">
        <v>6</v>
      </c>
      <c r="G155" s="11">
        <v>750</v>
      </c>
      <c r="H155" s="5">
        <f t="shared" si="3"/>
        <v>4500</v>
      </c>
    </row>
    <row r="156" spans="1:8" x14ac:dyDescent="0.25">
      <c r="A156" s="27">
        <v>45742</v>
      </c>
      <c r="B156" s="3" t="s">
        <v>45</v>
      </c>
      <c r="C156" s="4" t="s">
        <v>46</v>
      </c>
      <c r="D156" s="9" t="s">
        <v>6</v>
      </c>
      <c r="E156" s="12"/>
      <c r="F156" s="17">
        <v>6.5</v>
      </c>
      <c r="G156" s="11">
        <v>400</v>
      </c>
      <c r="H156" s="5">
        <f t="shared" si="3"/>
        <v>2600</v>
      </c>
    </row>
    <row r="157" spans="1:8" x14ac:dyDescent="0.25">
      <c r="A157" s="27">
        <v>45742</v>
      </c>
      <c r="B157" s="3" t="s">
        <v>45</v>
      </c>
      <c r="C157" s="4" t="s">
        <v>46</v>
      </c>
      <c r="D157" s="9" t="s">
        <v>8</v>
      </c>
      <c r="E157" s="30"/>
      <c r="F157" s="8">
        <v>1.4</v>
      </c>
      <c r="G157" s="11">
        <v>700</v>
      </c>
      <c r="H157" s="5">
        <f t="shared" si="3"/>
        <v>979.99999999999989</v>
      </c>
    </row>
    <row r="158" spans="1:8" x14ac:dyDescent="0.25">
      <c r="A158" s="27">
        <v>45742</v>
      </c>
      <c r="B158" s="3" t="s">
        <v>45</v>
      </c>
      <c r="C158" s="4" t="s">
        <v>46</v>
      </c>
      <c r="D158" s="34" t="s">
        <v>8</v>
      </c>
      <c r="E158" s="14"/>
      <c r="F158" s="11">
        <v>2.4</v>
      </c>
      <c r="G158" s="11">
        <v>1100</v>
      </c>
      <c r="H158" s="5">
        <f t="shared" si="3"/>
        <v>2640</v>
      </c>
    </row>
    <row r="159" spans="1:8" x14ac:dyDescent="0.25">
      <c r="A159" s="27">
        <v>45742</v>
      </c>
      <c r="B159" s="3" t="s">
        <v>45</v>
      </c>
      <c r="C159" s="4" t="s">
        <v>46</v>
      </c>
      <c r="D159" s="9" t="s">
        <v>8</v>
      </c>
      <c r="E159" s="30"/>
      <c r="F159" s="8">
        <v>6.5</v>
      </c>
      <c r="G159" s="11">
        <v>300</v>
      </c>
      <c r="H159" s="5">
        <f t="shared" si="3"/>
        <v>1950</v>
      </c>
    </row>
    <row r="160" spans="1:8" x14ac:dyDescent="0.25">
      <c r="A160" s="27">
        <v>45742</v>
      </c>
      <c r="B160" s="3" t="s">
        <v>45</v>
      </c>
      <c r="C160" s="4" t="s">
        <v>46</v>
      </c>
      <c r="D160" s="32" t="s">
        <v>9</v>
      </c>
      <c r="F160" s="7">
        <v>3</v>
      </c>
      <c r="G160" s="13">
        <v>600</v>
      </c>
      <c r="H160" s="5">
        <f t="shared" si="3"/>
        <v>1800</v>
      </c>
    </row>
    <row r="161" spans="1:8" x14ac:dyDescent="0.25">
      <c r="A161" s="27">
        <v>45742</v>
      </c>
      <c r="B161" s="3" t="s">
        <v>45</v>
      </c>
      <c r="C161" s="4" t="s">
        <v>46</v>
      </c>
      <c r="D161" s="32" t="s">
        <v>9</v>
      </c>
      <c r="F161" s="2">
        <v>1.5</v>
      </c>
      <c r="G161" s="13">
        <v>750</v>
      </c>
      <c r="H161" s="5">
        <f t="shared" si="3"/>
        <v>1125</v>
      </c>
    </row>
    <row r="162" spans="1:8" x14ac:dyDescent="0.25">
      <c r="A162" s="27">
        <v>45742</v>
      </c>
      <c r="B162" s="3" t="s">
        <v>45</v>
      </c>
      <c r="C162" s="4" t="s">
        <v>46</v>
      </c>
      <c r="D162" s="32" t="s">
        <v>9</v>
      </c>
      <c r="F162" s="2">
        <v>9</v>
      </c>
      <c r="G162" s="13">
        <v>800</v>
      </c>
      <c r="H162" s="5">
        <f t="shared" si="3"/>
        <v>7200</v>
      </c>
    </row>
    <row r="163" spans="1:8" x14ac:dyDescent="0.25">
      <c r="A163" s="27">
        <v>45742</v>
      </c>
      <c r="B163" s="3" t="s">
        <v>45</v>
      </c>
      <c r="C163" s="4" t="s">
        <v>46</v>
      </c>
      <c r="D163" s="34" t="s">
        <v>10</v>
      </c>
      <c r="E163" s="14"/>
      <c r="F163" s="11">
        <v>2</v>
      </c>
      <c r="G163" s="11">
        <v>600</v>
      </c>
      <c r="H163" s="5">
        <f t="shared" si="3"/>
        <v>1200</v>
      </c>
    </row>
    <row r="164" spans="1:8" x14ac:dyDescent="0.25">
      <c r="A164" s="27">
        <v>45742</v>
      </c>
      <c r="B164" s="3" t="s">
        <v>45</v>
      </c>
      <c r="C164" s="4" t="s">
        <v>46</v>
      </c>
      <c r="D164" s="9" t="s">
        <v>47</v>
      </c>
      <c r="E164" s="12">
        <v>1</v>
      </c>
      <c r="F164" s="8"/>
      <c r="G164" s="11">
        <v>700</v>
      </c>
      <c r="H164" s="5">
        <f t="shared" si="3"/>
        <v>700</v>
      </c>
    </row>
    <row r="165" spans="1:8" x14ac:dyDescent="0.25">
      <c r="A165" s="40">
        <v>45743</v>
      </c>
      <c r="B165" s="14" t="s">
        <v>48</v>
      </c>
      <c r="C165" s="15" t="s">
        <v>30</v>
      </c>
      <c r="D165" s="9" t="s">
        <v>15</v>
      </c>
      <c r="E165" s="12"/>
      <c r="F165" s="8">
        <v>-10</v>
      </c>
      <c r="G165" s="11">
        <v>400</v>
      </c>
      <c r="H165" s="5">
        <f t="shared" si="3"/>
        <v>-4000</v>
      </c>
    </row>
    <row r="166" spans="1:8" ht="12.15" customHeight="1" x14ac:dyDescent="0.25">
      <c r="A166" s="27">
        <v>45743</v>
      </c>
      <c r="B166" s="3" t="s">
        <v>49</v>
      </c>
      <c r="C166" s="4" t="s">
        <v>46</v>
      </c>
      <c r="D166" s="42" t="s">
        <v>0</v>
      </c>
      <c r="E166" s="14"/>
      <c r="F166" s="8">
        <v>12</v>
      </c>
      <c r="G166" s="22">
        <v>800</v>
      </c>
      <c r="H166" s="5">
        <f t="shared" si="3"/>
        <v>9600</v>
      </c>
    </row>
    <row r="167" spans="1:8" ht="12.15" customHeight="1" x14ac:dyDescent="0.25">
      <c r="A167" s="27">
        <v>45743</v>
      </c>
      <c r="B167" s="3" t="s">
        <v>49</v>
      </c>
      <c r="C167" s="4" t="s">
        <v>46</v>
      </c>
      <c r="D167" s="9" t="s">
        <v>0</v>
      </c>
      <c r="E167" s="12"/>
      <c r="F167" s="8">
        <v>9.5</v>
      </c>
      <c r="G167" s="22">
        <v>600</v>
      </c>
      <c r="H167" s="5">
        <f t="shared" si="3"/>
        <v>5700</v>
      </c>
    </row>
    <row r="168" spans="1:8" ht="12.15" hidden="1" customHeight="1" x14ac:dyDescent="0.25">
      <c r="A168" s="27">
        <v>45743</v>
      </c>
      <c r="B168" s="3" t="s">
        <v>49</v>
      </c>
      <c r="C168" s="4" t="s">
        <v>46</v>
      </c>
      <c r="D168" s="42" t="s">
        <v>4</v>
      </c>
      <c r="E168" s="42"/>
      <c r="F168" s="13">
        <v>1.5</v>
      </c>
      <c r="G168" s="42">
        <v>300</v>
      </c>
      <c r="H168" s="5">
        <f t="shared" si="3"/>
        <v>450</v>
      </c>
    </row>
    <row r="169" spans="1:8" ht="12.15" hidden="1" customHeight="1" x14ac:dyDescent="0.25">
      <c r="A169" s="27">
        <v>45743</v>
      </c>
      <c r="B169" s="3" t="s">
        <v>49</v>
      </c>
      <c r="C169" s="4" t="s">
        <v>46</v>
      </c>
      <c r="D169" s="29" t="s">
        <v>4</v>
      </c>
      <c r="F169" s="2">
        <v>1.5</v>
      </c>
      <c r="G169" s="13">
        <v>500</v>
      </c>
      <c r="H169" s="5">
        <f t="shared" si="3"/>
        <v>750</v>
      </c>
    </row>
    <row r="170" spans="1:8" ht="12.15" hidden="1" customHeight="1" x14ac:dyDescent="0.25">
      <c r="A170" s="27">
        <v>45743</v>
      </c>
      <c r="B170" s="3" t="s">
        <v>49</v>
      </c>
      <c r="C170" s="4" t="s">
        <v>46</v>
      </c>
      <c r="D170" s="9" t="s">
        <v>5</v>
      </c>
      <c r="E170" s="2"/>
      <c r="F170" s="2">
        <v>3</v>
      </c>
      <c r="G170" s="13">
        <v>500</v>
      </c>
      <c r="H170" s="5">
        <f t="shared" si="3"/>
        <v>1500</v>
      </c>
    </row>
    <row r="171" spans="1:8" ht="12.15" hidden="1" customHeight="1" x14ac:dyDescent="0.25">
      <c r="A171" s="27">
        <v>45743</v>
      </c>
      <c r="B171" s="3" t="s">
        <v>49</v>
      </c>
      <c r="C171" s="4" t="s">
        <v>46</v>
      </c>
      <c r="D171" s="32" t="s">
        <v>5</v>
      </c>
      <c r="E171" s="12"/>
      <c r="F171" s="8">
        <v>4</v>
      </c>
      <c r="G171" s="11">
        <v>800</v>
      </c>
      <c r="H171" s="5">
        <f t="shared" si="3"/>
        <v>3200</v>
      </c>
    </row>
    <row r="172" spans="1:8" ht="12.15" hidden="1" customHeight="1" x14ac:dyDescent="0.25">
      <c r="A172" s="27">
        <v>45743</v>
      </c>
      <c r="B172" s="3" t="s">
        <v>49</v>
      </c>
      <c r="C172" s="4" t="s">
        <v>46</v>
      </c>
      <c r="D172" s="29" t="s">
        <v>9</v>
      </c>
      <c r="E172" s="30"/>
      <c r="F172" s="31">
        <v>3</v>
      </c>
      <c r="G172" s="31">
        <v>700</v>
      </c>
      <c r="H172" s="5">
        <f t="shared" si="3"/>
        <v>2100</v>
      </c>
    </row>
    <row r="173" spans="1:8" ht="12.15" hidden="1" customHeight="1" x14ac:dyDescent="0.25">
      <c r="A173" s="27">
        <v>45743</v>
      </c>
      <c r="B173" s="3" t="s">
        <v>49</v>
      </c>
      <c r="C173" s="4" t="s">
        <v>46</v>
      </c>
      <c r="D173" s="29" t="s">
        <v>10</v>
      </c>
      <c r="F173" s="2">
        <v>1.5</v>
      </c>
      <c r="G173" s="13">
        <v>500</v>
      </c>
      <c r="H173" s="5">
        <f t="shared" si="3"/>
        <v>750</v>
      </c>
    </row>
    <row r="174" spans="1:8" ht="12.15" hidden="1" customHeight="1" x14ac:dyDescent="0.25">
      <c r="A174" s="27">
        <v>45743</v>
      </c>
      <c r="B174" s="3" t="s">
        <v>49</v>
      </c>
      <c r="C174" s="4" t="s">
        <v>46</v>
      </c>
      <c r="D174" s="29" t="s">
        <v>10</v>
      </c>
      <c r="F174" s="2">
        <v>1</v>
      </c>
      <c r="G174" s="13">
        <v>700</v>
      </c>
      <c r="H174" s="5">
        <f t="shared" si="3"/>
        <v>700</v>
      </c>
    </row>
    <row r="175" spans="1:8" ht="12.15" hidden="1" customHeight="1" x14ac:dyDescent="0.25">
      <c r="A175" s="27">
        <v>45743</v>
      </c>
      <c r="B175" s="3" t="s">
        <v>49</v>
      </c>
      <c r="C175" s="4" t="s">
        <v>46</v>
      </c>
      <c r="D175" s="32" t="s">
        <v>10</v>
      </c>
      <c r="F175" s="2">
        <v>5.5</v>
      </c>
      <c r="G175" s="13">
        <v>1000</v>
      </c>
      <c r="H175" s="5">
        <f t="shared" si="3"/>
        <v>5500</v>
      </c>
    </row>
    <row r="176" spans="1:8" ht="12.15" hidden="1" customHeight="1" x14ac:dyDescent="0.25">
      <c r="A176" s="27">
        <v>45743</v>
      </c>
      <c r="B176" s="3" t="s">
        <v>49</v>
      </c>
      <c r="C176" s="4" t="s">
        <v>46</v>
      </c>
      <c r="D176" s="32" t="s">
        <v>12</v>
      </c>
      <c r="F176" s="2">
        <v>4</v>
      </c>
      <c r="G176" s="13">
        <v>500</v>
      </c>
      <c r="H176" s="5">
        <f t="shared" si="3"/>
        <v>2000</v>
      </c>
    </row>
    <row r="177" spans="1:8" ht="12.15" hidden="1" customHeight="1" x14ac:dyDescent="0.25">
      <c r="A177" s="27">
        <v>45743</v>
      </c>
      <c r="B177" s="3" t="s">
        <v>49</v>
      </c>
      <c r="C177" s="4" t="s">
        <v>46</v>
      </c>
      <c r="D177" s="34" t="s">
        <v>47</v>
      </c>
      <c r="E177" s="14"/>
      <c r="F177" s="11">
        <v>2</v>
      </c>
      <c r="G177" s="34">
        <v>1000</v>
      </c>
      <c r="H177" s="5">
        <f t="shared" si="3"/>
        <v>2000</v>
      </c>
    </row>
    <row r="178" spans="1:8" ht="12.15" hidden="1" customHeight="1" x14ac:dyDescent="0.25">
      <c r="A178" s="27">
        <v>45743</v>
      </c>
      <c r="B178" s="3" t="s">
        <v>50</v>
      </c>
      <c r="C178" s="4" t="s">
        <v>51</v>
      </c>
      <c r="D178" s="34" t="s">
        <v>15</v>
      </c>
      <c r="E178" s="14"/>
      <c r="F178" s="11">
        <v>126.39</v>
      </c>
      <c r="G178" s="34">
        <v>235.01050000000001</v>
      </c>
      <c r="H178" s="5">
        <f t="shared" si="3"/>
        <v>29702.977095000002</v>
      </c>
    </row>
    <row r="179" spans="1:8" ht="12.15" hidden="1" customHeight="1" x14ac:dyDescent="0.25">
      <c r="A179" s="27">
        <v>45744</v>
      </c>
      <c r="B179" s="3" t="s">
        <v>52</v>
      </c>
      <c r="C179" s="4" t="s">
        <v>51</v>
      </c>
      <c r="D179" s="34" t="s">
        <v>15</v>
      </c>
      <c r="E179" s="14"/>
      <c r="F179" s="11">
        <v>66</v>
      </c>
      <c r="G179" s="34">
        <v>450.04514999999998</v>
      </c>
      <c r="H179" s="5">
        <f t="shared" si="3"/>
        <v>29702.979899999998</v>
      </c>
    </row>
    <row r="180" spans="1:8" ht="12.15" customHeight="1" x14ac:dyDescent="0.25">
      <c r="A180" s="40">
        <v>45744</v>
      </c>
      <c r="B180" s="14" t="s">
        <v>53</v>
      </c>
      <c r="C180" s="15" t="s">
        <v>30</v>
      </c>
      <c r="D180" s="9" t="s">
        <v>0</v>
      </c>
      <c r="E180" s="12"/>
      <c r="F180" s="8">
        <v>-3</v>
      </c>
      <c r="G180" s="22">
        <v>1200</v>
      </c>
      <c r="H180" s="5">
        <f t="shared" si="3"/>
        <v>-3600</v>
      </c>
    </row>
    <row r="181" spans="1:8" ht="12.15" hidden="1" customHeight="1" x14ac:dyDescent="0.25">
      <c r="A181" s="27">
        <v>45744</v>
      </c>
      <c r="B181" s="3" t="s">
        <v>54</v>
      </c>
      <c r="C181" s="4" t="s">
        <v>46</v>
      </c>
      <c r="D181" s="29" t="s">
        <v>55</v>
      </c>
      <c r="E181" s="30"/>
      <c r="F181" s="31">
        <v>150</v>
      </c>
      <c r="G181" s="31">
        <v>500</v>
      </c>
      <c r="H181" s="5">
        <f t="shared" si="3"/>
        <v>75000</v>
      </c>
    </row>
    <row r="182" spans="1:8" ht="12.15" hidden="1" customHeight="1" x14ac:dyDescent="0.25">
      <c r="A182" s="27">
        <v>45744</v>
      </c>
      <c r="B182" s="3" t="s">
        <v>54</v>
      </c>
      <c r="C182" s="4" t="s">
        <v>46</v>
      </c>
      <c r="D182" s="32" t="s">
        <v>19</v>
      </c>
      <c r="F182" s="2">
        <v>150</v>
      </c>
      <c r="G182" s="13">
        <v>500</v>
      </c>
      <c r="H182" s="5">
        <f t="shared" si="3"/>
        <v>75000</v>
      </c>
    </row>
    <row r="183" spans="1:8" ht="12.15" hidden="1" customHeight="1" x14ac:dyDescent="0.25">
      <c r="A183" s="27">
        <v>45745</v>
      </c>
      <c r="B183" s="3" t="s">
        <v>56</v>
      </c>
      <c r="C183" s="4" t="s">
        <v>30</v>
      </c>
      <c r="D183" s="9" t="s">
        <v>15</v>
      </c>
      <c r="F183" s="2">
        <v>-20</v>
      </c>
      <c r="G183" s="13">
        <v>470</v>
      </c>
      <c r="H183" s="5">
        <f t="shared" si="3"/>
        <v>-9400</v>
      </c>
    </row>
    <row r="184" spans="1:8" ht="12.15" hidden="1" customHeight="1" x14ac:dyDescent="0.25">
      <c r="A184" s="27">
        <v>45745</v>
      </c>
      <c r="B184" s="3" t="s">
        <v>56</v>
      </c>
      <c r="C184" s="4" t="s">
        <v>30</v>
      </c>
      <c r="D184" s="32" t="s">
        <v>26</v>
      </c>
      <c r="F184" s="2">
        <v>-2.4</v>
      </c>
      <c r="G184" s="13">
        <v>800</v>
      </c>
      <c r="H184" s="5">
        <f t="shared" si="3"/>
        <v>-1920</v>
      </c>
    </row>
    <row r="185" spans="1:8" ht="12.15" hidden="1" customHeight="1" x14ac:dyDescent="0.25">
      <c r="A185" s="27">
        <v>45745</v>
      </c>
      <c r="B185" s="3" t="s">
        <v>56</v>
      </c>
      <c r="C185" s="4" t="s">
        <v>30</v>
      </c>
      <c r="D185" s="42" t="s">
        <v>5</v>
      </c>
      <c r="E185" s="42"/>
      <c r="F185" s="13">
        <v>-0.5</v>
      </c>
      <c r="G185" s="42">
        <v>750</v>
      </c>
      <c r="H185" s="5">
        <f t="shared" si="3"/>
        <v>-375</v>
      </c>
    </row>
    <row r="186" spans="1:8" ht="12.15" hidden="1" customHeight="1" x14ac:dyDescent="0.25">
      <c r="A186" s="27">
        <v>45745</v>
      </c>
      <c r="B186" s="3" t="s">
        <v>56</v>
      </c>
      <c r="C186" s="4" t="s">
        <v>30</v>
      </c>
      <c r="D186" s="32" t="s">
        <v>5</v>
      </c>
      <c r="F186" s="2">
        <v>-1</v>
      </c>
      <c r="G186" s="13">
        <v>1100</v>
      </c>
      <c r="H186" s="5">
        <f t="shared" si="3"/>
        <v>-1100</v>
      </c>
    </row>
    <row r="187" spans="1:8" ht="12.15" hidden="1" customHeight="1" x14ac:dyDescent="0.25">
      <c r="A187" s="27">
        <v>45745</v>
      </c>
      <c r="B187" s="3" t="s">
        <v>56</v>
      </c>
      <c r="C187" s="4" t="s">
        <v>30</v>
      </c>
      <c r="D187" s="34" t="s">
        <v>2</v>
      </c>
      <c r="E187" s="12"/>
      <c r="F187" s="11">
        <v>-3</v>
      </c>
      <c r="G187" s="11">
        <v>700</v>
      </c>
      <c r="H187" s="5">
        <f t="shared" si="3"/>
        <v>-2100</v>
      </c>
    </row>
    <row r="188" spans="1:8" ht="12.15" hidden="1" customHeight="1" x14ac:dyDescent="0.25">
      <c r="A188" s="27">
        <v>45745</v>
      </c>
      <c r="B188" s="3" t="s">
        <v>57</v>
      </c>
      <c r="C188" s="4" t="s">
        <v>46</v>
      </c>
      <c r="D188" s="32" t="s">
        <v>19</v>
      </c>
      <c r="F188" s="2">
        <v>150</v>
      </c>
      <c r="G188" s="13">
        <v>600</v>
      </c>
      <c r="H188" s="5">
        <f t="shared" si="3"/>
        <v>90000</v>
      </c>
    </row>
    <row r="189" spans="1:8" ht="12.15" hidden="1" customHeight="1" x14ac:dyDescent="0.25">
      <c r="A189" s="27">
        <v>45745</v>
      </c>
      <c r="B189" s="3" t="s">
        <v>57</v>
      </c>
      <c r="C189" s="4" t="s">
        <v>46</v>
      </c>
      <c r="D189" s="9" t="s">
        <v>55</v>
      </c>
      <c r="F189" s="2">
        <v>150</v>
      </c>
      <c r="G189" s="13">
        <v>600</v>
      </c>
      <c r="H189" s="5">
        <f t="shared" si="3"/>
        <v>90000</v>
      </c>
    </row>
    <row r="190" spans="1:8" ht="12.15" hidden="1" customHeight="1" x14ac:dyDescent="0.25">
      <c r="A190" s="27">
        <v>45745</v>
      </c>
      <c r="B190" s="3" t="s">
        <v>58</v>
      </c>
      <c r="C190" s="4" t="s">
        <v>46</v>
      </c>
      <c r="D190" s="9" t="s">
        <v>19</v>
      </c>
      <c r="F190" s="7">
        <v>65</v>
      </c>
      <c r="G190" s="13">
        <v>500</v>
      </c>
      <c r="H190" s="5">
        <f t="shared" si="3"/>
        <v>32500</v>
      </c>
    </row>
    <row r="191" spans="1:8" ht="12.15" hidden="1" customHeight="1" x14ac:dyDescent="0.25">
      <c r="A191" s="27">
        <v>45745</v>
      </c>
      <c r="B191" s="3" t="s">
        <v>58</v>
      </c>
      <c r="C191" s="4" t="s">
        <v>46</v>
      </c>
      <c r="D191" s="9" t="s">
        <v>55</v>
      </c>
      <c r="E191" s="30"/>
      <c r="F191" s="8">
        <v>70</v>
      </c>
      <c r="G191" s="11">
        <v>500</v>
      </c>
      <c r="H191" s="5">
        <f t="shared" si="3"/>
        <v>35000</v>
      </c>
    </row>
    <row r="192" spans="1:8" ht="12.15" hidden="1" customHeight="1" x14ac:dyDescent="0.25">
      <c r="A192" s="27">
        <v>45746</v>
      </c>
      <c r="B192" s="3" t="s">
        <v>59</v>
      </c>
      <c r="C192" s="4" t="s">
        <v>60</v>
      </c>
      <c r="D192" s="34" t="s">
        <v>15</v>
      </c>
      <c r="E192" s="14"/>
      <c r="F192" s="11">
        <v>25</v>
      </c>
      <c r="G192" s="11">
        <v>350</v>
      </c>
      <c r="H192" s="5">
        <f t="shared" si="3"/>
        <v>8750</v>
      </c>
    </row>
    <row r="193" spans="1:8" ht="12.15" hidden="1" customHeight="1" x14ac:dyDescent="0.25">
      <c r="A193" s="27">
        <v>45747</v>
      </c>
      <c r="B193" s="3" t="s">
        <v>61</v>
      </c>
      <c r="C193" s="4" t="s">
        <v>60</v>
      </c>
      <c r="D193" s="9" t="s">
        <v>15</v>
      </c>
      <c r="E193" s="30"/>
      <c r="F193" s="8">
        <v>25</v>
      </c>
      <c r="G193" s="11">
        <v>350</v>
      </c>
      <c r="H193" s="5">
        <f t="shared" si="3"/>
        <v>8750</v>
      </c>
    </row>
    <row r="194" spans="1:8" ht="12.15" hidden="1" customHeight="1" x14ac:dyDescent="0.25">
      <c r="A194" s="27">
        <v>45748</v>
      </c>
      <c r="B194" s="3" t="s">
        <v>62</v>
      </c>
      <c r="C194" s="4" t="s">
        <v>30</v>
      </c>
      <c r="D194" s="4" t="s">
        <v>15</v>
      </c>
      <c r="F194" s="2">
        <v>-20</v>
      </c>
      <c r="G194" s="13">
        <v>370</v>
      </c>
      <c r="H194" s="5">
        <f t="shared" si="3"/>
        <v>-7400</v>
      </c>
    </row>
    <row r="195" spans="1:8" ht="12.15" hidden="1" customHeight="1" x14ac:dyDescent="0.25">
      <c r="A195" s="27">
        <v>45750</v>
      </c>
      <c r="B195" s="3" t="s">
        <v>63</v>
      </c>
      <c r="C195" s="4" t="s">
        <v>30</v>
      </c>
      <c r="D195" s="29" t="s">
        <v>15</v>
      </c>
      <c r="E195" s="30"/>
      <c r="F195" s="31">
        <v>-20</v>
      </c>
      <c r="G195" s="31">
        <v>330</v>
      </c>
      <c r="H195" s="5">
        <f t="shared" si="3"/>
        <v>-6600</v>
      </c>
    </row>
    <row r="196" spans="1:8" ht="12.15" hidden="1" customHeight="1" x14ac:dyDescent="0.25">
      <c r="A196" s="27">
        <v>45750</v>
      </c>
      <c r="B196" s="3" t="s">
        <v>63</v>
      </c>
      <c r="C196" s="4" t="s">
        <v>30</v>
      </c>
      <c r="D196" s="32" t="s">
        <v>15</v>
      </c>
      <c r="F196" s="2">
        <v>-20</v>
      </c>
      <c r="G196" s="13">
        <v>480</v>
      </c>
      <c r="H196" s="5">
        <f t="shared" si="3"/>
        <v>-9600</v>
      </c>
    </row>
    <row r="197" spans="1:8" ht="12.15" customHeight="1" x14ac:dyDescent="0.25">
      <c r="A197" s="27">
        <v>45750</v>
      </c>
      <c r="B197" s="3" t="s">
        <v>64</v>
      </c>
      <c r="C197" s="4" t="s">
        <v>65</v>
      </c>
      <c r="D197" s="4" t="s">
        <v>0</v>
      </c>
      <c r="F197" s="2">
        <v>4.5</v>
      </c>
      <c r="G197" s="33">
        <v>800</v>
      </c>
      <c r="H197" s="5">
        <f t="shared" si="3"/>
        <v>3600</v>
      </c>
    </row>
    <row r="198" spans="1:8" ht="12.15" customHeight="1" x14ac:dyDescent="0.25">
      <c r="A198" s="27">
        <v>45750</v>
      </c>
      <c r="B198" s="3" t="s">
        <v>64</v>
      </c>
      <c r="C198" s="4" t="s">
        <v>65</v>
      </c>
      <c r="D198" s="34" t="s">
        <v>0</v>
      </c>
      <c r="E198" s="14"/>
      <c r="F198" s="8">
        <v>4.5</v>
      </c>
      <c r="G198" s="22">
        <v>1000</v>
      </c>
      <c r="H198" s="5">
        <f t="shared" si="3"/>
        <v>4500</v>
      </c>
    </row>
    <row r="199" spans="1:8" ht="12.15" customHeight="1" x14ac:dyDescent="0.25">
      <c r="A199" s="27">
        <v>45750</v>
      </c>
      <c r="B199" s="3" t="s">
        <v>64</v>
      </c>
      <c r="C199" s="4" t="s">
        <v>65</v>
      </c>
      <c r="D199" s="6" t="s">
        <v>0</v>
      </c>
      <c r="E199" s="14"/>
      <c r="F199" s="8">
        <v>15</v>
      </c>
      <c r="G199" s="22">
        <v>1200</v>
      </c>
      <c r="H199" s="5">
        <f t="shared" si="3"/>
        <v>18000</v>
      </c>
    </row>
    <row r="200" spans="1:8" ht="12.15" customHeight="1" x14ac:dyDescent="0.25">
      <c r="A200" s="27">
        <v>45750</v>
      </c>
      <c r="B200" s="3" t="s">
        <v>64</v>
      </c>
      <c r="C200" s="4" t="s">
        <v>65</v>
      </c>
      <c r="D200" s="32" t="s">
        <v>0</v>
      </c>
      <c r="F200" s="2">
        <v>4</v>
      </c>
      <c r="G200" s="33">
        <v>1500</v>
      </c>
      <c r="H200" s="5">
        <f t="shared" ref="H200:H263" si="4">(E200*G200)+(F200*G200)</f>
        <v>6000</v>
      </c>
    </row>
    <row r="201" spans="1:8" ht="12.15" customHeight="1" x14ac:dyDescent="0.25">
      <c r="A201" s="27">
        <v>45750</v>
      </c>
      <c r="B201" s="3" t="s">
        <v>64</v>
      </c>
      <c r="C201" s="4" t="s">
        <v>65</v>
      </c>
      <c r="D201" s="32" t="s">
        <v>0</v>
      </c>
      <c r="F201" s="7">
        <v>21</v>
      </c>
      <c r="G201" s="33">
        <v>700</v>
      </c>
      <c r="H201" s="5">
        <f t="shared" si="4"/>
        <v>14700</v>
      </c>
    </row>
    <row r="202" spans="1:8" ht="12.15" customHeight="1" x14ac:dyDescent="0.25">
      <c r="A202" s="27">
        <v>45751</v>
      </c>
      <c r="B202" s="3" t="s">
        <v>67</v>
      </c>
      <c r="C202" s="4" t="s">
        <v>30</v>
      </c>
      <c r="D202" s="32" t="s">
        <v>0</v>
      </c>
      <c r="F202" s="2">
        <v>-4.5</v>
      </c>
      <c r="G202" s="33">
        <v>1000</v>
      </c>
      <c r="H202" s="5">
        <f t="shared" si="4"/>
        <v>-4500</v>
      </c>
    </row>
    <row r="203" spans="1:8" ht="12.15" hidden="1" customHeight="1" x14ac:dyDescent="0.25">
      <c r="A203" s="27">
        <v>45750</v>
      </c>
      <c r="B203" s="3" t="s">
        <v>64</v>
      </c>
      <c r="C203" s="4" t="s">
        <v>65</v>
      </c>
      <c r="D203" s="34" t="s">
        <v>4</v>
      </c>
      <c r="E203" s="14"/>
      <c r="F203" s="8">
        <v>2.5</v>
      </c>
      <c r="G203" s="11">
        <v>300</v>
      </c>
      <c r="H203" s="5">
        <f t="shared" si="4"/>
        <v>750</v>
      </c>
    </row>
    <row r="204" spans="1:8" ht="12.15" hidden="1" customHeight="1" x14ac:dyDescent="0.25">
      <c r="A204" s="27">
        <v>45750</v>
      </c>
      <c r="B204" s="3" t="s">
        <v>64</v>
      </c>
      <c r="C204" s="4" t="s">
        <v>65</v>
      </c>
      <c r="D204" s="35" t="s">
        <v>4</v>
      </c>
      <c r="F204" s="8">
        <v>1.5</v>
      </c>
      <c r="G204" s="13">
        <v>500</v>
      </c>
      <c r="H204" s="5">
        <f t="shared" si="4"/>
        <v>750</v>
      </c>
    </row>
    <row r="205" spans="1:8" ht="12.15" hidden="1" customHeight="1" x14ac:dyDescent="0.25">
      <c r="A205" s="27">
        <v>45750</v>
      </c>
      <c r="B205" s="3" t="s">
        <v>64</v>
      </c>
      <c r="C205" s="4" t="s">
        <v>65</v>
      </c>
      <c r="D205" s="32" t="s">
        <v>4</v>
      </c>
      <c r="F205" s="2">
        <v>2</v>
      </c>
      <c r="G205" s="13">
        <v>1200</v>
      </c>
      <c r="H205" s="5">
        <f t="shared" si="4"/>
        <v>2400</v>
      </c>
    </row>
    <row r="206" spans="1:8" ht="12.15" hidden="1" customHeight="1" x14ac:dyDescent="0.25">
      <c r="A206" s="27">
        <v>45750</v>
      </c>
      <c r="B206" s="3" t="s">
        <v>64</v>
      </c>
      <c r="C206" s="4" t="s">
        <v>65</v>
      </c>
      <c r="D206" s="32" t="s">
        <v>4</v>
      </c>
      <c r="F206" s="2">
        <v>0.5</v>
      </c>
      <c r="G206" s="13">
        <v>750</v>
      </c>
      <c r="H206" s="5">
        <f t="shared" si="4"/>
        <v>375</v>
      </c>
    </row>
    <row r="207" spans="1:8" ht="12.15" hidden="1" customHeight="1" x14ac:dyDescent="0.25">
      <c r="A207" s="27">
        <v>45750</v>
      </c>
      <c r="B207" s="3" t="s">
        <v>64</v>
      </c>
      <c r="C207" s="4" t="s">
        <v>65</v>
      </c>
      <c r="D207" s="32" t="s">
        <v>5</v>
      </c>
      <c r="F207" s="2">
        <v>2</v>
      </c>
      <c r="G207" s="13">
        <v>800</v>
      </c>
      <c r="H207" s="5">
        <f t="shared" si="4"/>
        <v>1600</v>
      </c>
    </row>
    <row r="208" spans="1:8" ht="12.15" hidden="1" customHeight="1" x14ac:dyDescent="0.25">
      <c r="A208" s="27">
        <v>45750</v>
      </c>
      <c r="B208" s="3" t="s">
        <v>64</v>
      </c>
      <c r="C208" s="4" t="s">
        <v>65</v>
      </c>
      <c r="D208" s="32" t="s">
        <v>5</v>
      </c>
      <c r="F208" s="2">
        <v>1.2</v>
      </c>
      <c r="G208" s="13">
        <v>600</v>
      </c>
      <c r="H208" s="5">
        <f t="shared" si="4"/>
        <v>720</v>
      </c>
    </row>
    <row r="209" spans="1:8" ht="12.15" hidden="1" customHeight="1" x14ac:dyDescent="0.25">
      <c r="A209" s="27">
        <v>45750</v>
      </c>
      <c r="B209" s="3" t="s">
        <v>64</v>
      </c>
      <c r="C209" s="4" t="s">
        <v>65</v>
      </c>
      <c r="D209" s="32" t="s">
        <v>9</v>
      </c>
      <c r="F209" s="17">
        <v>6</v>
      </c>
      <c r="G209" s="11">
        <v>700</v>
      </c>
      <c r="H209" s="5">
        <f t="shared" si="4"/>
        <v>4200</v>
      </c>
    </row>
    <row r="210" spans="1:8" ht="12.15" hidden="1" customHeight="1" x14ac:dyDescent="0.25">
      <c r="A210" s="27">
        <v>45750</v>
      </c>
      <c r="B210" s="3" t="s">
        <v>64</v>
      </c>
      <c r="C210" s="4" t="s">
        <v>65</v>
      </c>
      <c r="D210" s="32" t="s">
        <v>10</v>
      </c>
      <c r="F210" s="2">
        <v>7</v>
      </c>
      <c r="G210" s="13">
        <v>700</v>
      </c>
      <c r="H210" s="5">
        <f t="shared" si="4"/>
        <v>4900</v>
      </c>
    </row>
    <row r="211" spans="1:8" ht="12.15" hidden="1" customHeight="1" x14ac:dyDescent="0.25">
      <c r="A211" s="27">
        <v>45750</v>
      </c>
      <c r="B211" s="3" t="s">
        <v>64</v>
      </c>
      <c r="C211" s="4" t="s">
        <v>65</v>
      </c>
      <c r="D211" s="34" t="s">
        <v>10</v>
      </c>
      <c r="E211" s="14"/>
      <c r="F211" s="11">
        <v>4</v>
      </c>
      <c r="G211" s="34">
        <v>850</v>
      </c>
      <c r="H211" s="5">
        <f t="shared" si="4"/>
        <v>3400</v>
      </c>
    </row>
    <row r="212" spans="1:8" ht="12.15" hidden="1" customHeight="1" x14ac:dyDescent="0.25">
      <c r="A212" s="27">
        <v>45750</v>
      </c>
      <c r="B212" s="3" t="s">
        <v>64</v>
      </c>
      <c r="C212" s="4" t="s">
        <v>65</v>
      </c>
      <c r="D212" s="32" t="s">
        <v>10</v>
      </c>
      <c r="F212" s="7">
        <v>1</v>
      </c>
      <c r="G212" s="13">
        <v>1500</v>
      </c>
      <c r="H212" s="5">
        <f t="shared" si="4"/>
        <v>1500</v>
      </c>
    </row>
    <row r="213" spans="1:8" ht="12.15" hidden="1" customHeight="1" x14ac:dyDescent="0.25">
      <c r="A213" s="27">
        <v>45750</v>
      </c>
      <c r="B213" s="3" t="s">
        <v>64</v>
      </c>
      <c r="C213" s="4" t="s">
        <v>65</v>
      </c>
      <c r="D213" s="9" t="s">
        <v>20</v>
      </c>
      <c r="E213" s="12"/>
      <c r="F213" s="8">
        <v>24.5</v>
      </c>
      <c r="G213" s="11">
        <v>600</v>
      </c>
      <c r="H213" s="5">
        <f t="shared" si="4"/>
        <v>14700</v>
      </c>
    </row>
    <row r="214" spans="1:8" ht="12.15" hidden="1" customHeight="1" x14ac:dyDescent="0.25">
      <c r="A214" s="27">
        <v>45750</v>
      </c>
      <c r="B214" s="3" t="s">
        <v>64</v>
      </c>
      <c r="C214" s="4" t="s">
        <v>65</v>
      </c>
      <c r="D214" s="32" t="s">
        <v>20</v>
      </c>
      <c r="F214" s="2">
        <v>6</v>
      </c>
      <c r="G214" s="13">
        <v>850</v>
      </c>
      <c r="H214" s="5">
        <f t="shared" si="4"/>
        <v>5100</v>
      </c>
    </row>
    <row r="215" spans="1:8" ht="12.15" hidden="1" customHeight="1" x14ac:dyDescent="0.25">
      <c r="A215" s="27">
        <v>45750</v>
      </c>
      <c r="B215" s="3" t="s">
        <v>66</v>
      </c>
      <c r="C215" s="4" t="s">
        <v>51</v>
      </c>
      <c r="D215" s="32" t="s">
        <v>15</v>
      </c>
      <c r="F215" s="2">
        <v>320</v>
      </c>
      <c r="G215" s="13">
        <v>230</v>
      </c>
      <c r="H215" s="5">
        <f t="shared" si="4"/>
        <v>73600</v>
      </c>
    </row>
    <row r="216" spans="1:8" ht="12.15" hidden="1" customHeight="1" x14ac:dyDescent="0.25">
      <c r="A216" s="27">
        <v>45750</v>
      </c>
      <c r="B216" s="3" t="s">
        <v>66</v>
      </c>
      <c r="C216" s="4" t="s">
        <v>51</v>
      </c>
      <c r="D216" s="32" t="s">
        <v>15</v>
      </c>
      <c r="F216" s="2">
        <v>50</v>
      </c>
      <c r="G216" s="13">
        <v>250</v>
      </c>
      <c r="H216" s="5">
        <f t="shared" si="4"/>
        <v>12500</v>
      </c>
    </row>
    <row r="217" spans="1:8" ht="12.15" hidden="1" customHeight="1" x14ac:dyDescent="0.25">
      <c r="A217" s="27">
        <v>45750</v>
      </c>
      <c r="B217" s="3" t="s">
        <v>66</v>
      </c>
      <c r="C217" s="4" t="s">
        <v>51</v>
      </c>
      <c r="D217" s="32" t="s">
        <v>15</v>
      </c>
      <c r="F217" s="2">
        <v>20</v>
      </c>
      <c r="G217" s="13">
        <v>350</v>
      </c>
      <c r="H217" s="5">
        <f t="shared" si="4"/>
        <v>7000</v>
      </c>
    </row>
    <row r="218" spans="1:8" ht="12.15" hidden="1" customHeight="1" x14ac:dyDescent="0.25">
      <c r="A218" s="27">
        <v>45750</v>
      </c>
      <c r="B218" s="3" t="s">
        <v>66</v>
      </c>
      <c r="C218" s="4" t="s">
        <v>51</v>
      </c>
      <c r="D218" s="32" t="s">
        <v>15</v>
      </c>
      <c r="F218" s="2">
        <v>15.55</v>
      </c>
      <c r="G218" s="13">
        <v>380.57870000000003</v>
      </c>
      <c r="H218" s="5">
        <f t="shared" si="4"/>
        <v>5917.9987850000007</v>
      </c>
    </row>
    <row r="219" spans="1:8" ht="12.15" hidden="1" customHeight="1" x14ac:dyDescent="0.25">
      <c r="A219" s="27">
        <v>45751</v>
      </c>
      <c r="B219" s="3" t="s">
        <v>67</v>
      </c>
      <c r="C219" s="4" t="s">
        <v>30</v>
      </c>
      <c r="D219" s="32" t="s">
        <v>2</v>
      </c>
      <c r="F219" s="2">
        <v>-2</v>
      </c>
      <c r="G219" s="13">
        <v>700</v>
      </c>
      <c r="H219" s="5">
        <f t="shared" si="4"/>
        <v>-1400</v>
      </c>
    </row>
    <row r="220" spans="1:8" ht="12.15" hidden="1" customHeight="1" x14ac:dyDescent="0.25">
      <c r="A220" s="27">
        <v>45751</v>
      </c>
      <c r="B220" s="3" t="s">
        <v>67</v>
      </c>
      <c r="C220" s="4" t="s">
        <v>30</v>
      </c>
      <c r="D220" s="9" t="s">
        <v>20</v>
      </c>
      <c r="E220" s="14"/>
      <c r="F220" s="31">
        <v>-2.4</v>
      </c>
      <c r="G220" s="11">
        <v>900</v>
      </c>
      <c r="H220" s="5">
        <f t="shared" si="4"/>
        <v>-2160</v>
      </c>
    </row>
    <row r="221" spans="1:8" ht="12.15" hidden="1" customHeight="1" x14ac:dyDescent="0.25">
      <c r="A221" s="27">
        <v>45751</v>
      </c>
      <c r="B221" s="3" t="s">
        <v>67</v>
      </c>
      <c r="C221" s="4" t="s">
        <v>30</v>
      </c>
      <c r="D221" s="9" t="s">
        <v>15</v>
      </c>
      <c r="F221" s="2">
        <v>-10</v>
      </c>
      <c r="G221" s="11">
        <v>480</v>
      </c>
      <c r="H221" s="5">
        <f t="shared" si="4"/>
        <v>-4800</v>
      </c>
    </row>
    <row r="222" spans="1:8" ht="12.15" customHeight="1" x14ac:dyDescent="0.25">
      <c r="A222" s="27">
        <v>45751</v>
      </c>
      <c r="B222" s="3" t="s">
        <v>68</v>
      </c>
      <c r="C222" s="4" t="s">
        <v>65</v>
      </c>
      <c r="D222" s="32" t="s">
        <v>0</v>
      </c>
      <c r="F222" s="2">
        <v>11.5</v>
      </c>
      <c r="G222" s="33">
        <v>1000</v>
      </c>
      <c r="H222" s="5">
        <f t="shared" si="4"/>
        <v>11500</v>
      </c>
    </row>
    <row r="223" spans="1:8" ht="12.15" customHeight="1" x14ac:dyDescent="0.25">
      <c r="A223" s="27">
        <v>45751</v>
      </c>
      <c r="B223" s="3" t="s">
        <v>68</v>
      </c>
      <c r="C223" s="4" t="s">
        <v>65</v>
      </c>
      <c r="D223" s="34" t="s">
        <v>0</v>
      </c>
      <c r="E223" s="36"/>
      <c r="F223" s="11">
        <v>7</v>
      </c>
      <c r="G223" s="22">
        <v>700</v>
      </c>
      <c r="H223" s="5">
        <f t="shared" si="4"/>
        <v>4900</v>
      </c>
    </row>
    <row r="224" spans="1:8" ht="12.15" customHeight="1" x14ac:dyDescent="0.25">
      <c r="A224" s="27">
        <v>45752</v>
      </c>
      <c r="B224" s="3" t="s">
        <v>70</v>
      </c>
      <c r="C224" s="4" t="s">
        <v>65</v>
      </c>
      <c r="D224" s="29" t="s">
        <v>0</v>
      </c>
      <c r="E224" s="30"/>
      <c r="F224" s="31">
        <v>5</v>
      </c>
      <c r="G224" s="41">
        <v>1000</v>
      </c>
      <c r="H224" s="5">
        <f t="shared" si="4"/>
        <v>5000</v>
      </c>
    </row>
    <row r="225" spans="1:10" ht="12.15" customHeight="1" x14ac:dyDescent="0.25">
      <c r="A225" s="27">
        <v>45751</v>
      </c>
      <c r="B225" s="3" t="s">
        <v>68</v>
      </c>
      <c r="C225" s="4" t="s">
        <v>65</v>
      </c>
      <c r="D225" s="32" t="s">
        <v>0</v>
      </c>
      <c r="F225" s="2">
        <v>10</v>
      </c>
      <c r="G225" s="33">
        <v>1200</v>
      </c>
      <c r="H225" s="5">
        <f t="shared" si="4"/>
        <v>12000</v>
      </c>
    </row>
    <row r="226" spans="1:10" ht="12.15" customHeight="1" x14ac:dyDescent="0.25">
      <c r="A226" s="27">
        <v>45751</v>
      </c>
      <c r="B226" s="3" t="s">
        <v>68</v>
      </c>
      <c r="C226" s="4" t="s">
        <v>65</v>
      </c>
      <c r="D226" s="9" t="s">
        <v>0</v>
      </c>
      <c r="E226" s="12"/>
      <c r="F226" s="8">
        <v>2</v>
      </c>
      <c r="G226" s="22">
        <v>1750</v>
      </c>
      <c r="H226" s="5">
        <f t="shared" si="4"/>
        <v>3500</v>
      </c>
    </row>
    <row r="227" spans="1:10" ht="12.15" customHeight="1" x14ac:dyDescent="0.25">
      <c r="A227" s="27">
        <v>45751</v>
      </c>
      <c r="B227" s="3" t="s">
        <v>68</v>
      </c>
      <c r="C227" s="4" t="s">
        <v>65</v>
      </c>
      <c r="D227" s="34" t="s">
        <v>0</v>
      </c>
      <c r="E227" s="14"/>
      <c r="F227" s="8">
        <v>12</v>
      </c>
      <c r="G227" s="22">
        <v>600</v>
      </c>
      <c r="H227" s="5">
        <f t="shared" si="4"/>
        <v>7200</v>
      </c>
    </row>
    <row r="228" spans="1:10" ht="12.15" customHeight="1" x14ac:dyDescent="0.25">
      <c r="A228" s="27">
        <v>45751</v>
      </c>
      <c r="B228" s="3" t="s">
        <v>68</v>
      </c>
      <c r="C228" s="4" t="s">
        <v>65</v>
      </c>
      <c r="D228" s="32" t="s">
        <v>0</v>
      </c>
      <c r="E228" s="3"/>
      <c r="F228" s="2">
        <v>7</v>
      </c>
      <c r="G228" s="33">
        <v>700</v>
      </c>
      <c r="H228" s="5">
        <f t="shared" si="4"/>
        <v>4900</v>
      </c>
    </row>
    <row r="229" spans="1:10" ht="12.15" hidden="1" customHeight="1" x14ac:dyDescent="0.3">
      <c r="A229" s="27">
        <v>45751</v>
      </c>
      <c r="B229" s="3" t="s">
        <v>68</v>
      </c>
      <c r="C229" s="4" t="s">
        <v>65</v>
      </c>
      <c r="D229" s="34" t="s">
        <v>5</v>
      </c>
      <c r="E229" s="14"/>
      <c r="F229" s="8">
        <v>9.5</v>
      </c>
      <c r="G229" s="11">
        <v>300</v>
      </c>
      <c r="H229" s="5">
        <f t="shared" si="4"/>
        <v>2850</v>
      </c>
      <c r="I229" s="43"/>
      <c r="J229"/>
    </row>
    <row r="230" spans="1:10" ht="12.15" hidden="1" customHeight="1" x14ac:dyDescent="0.3">
      <c r="A230" s="27">
        <v>45751</v>
      </c>
      <c r="B230" s="3" t="s">
        <v>68</v>
      </c>
      <c r="C230" s="4" t="s">
        <v>65</v>
      </c>
      <c r="D230" s="34" t="s">
        <v>5</v>
      </c>
      <c r="E230" s="14"/>
      <c r="F230" s="8">
        <v>2.5</v>
      </c>
      <c r="G230" s="11">
        <v>700</v>
      </c>
      <c r="H230" s="5">
        <f t="shared" si="4"/>
        <v>1750</v>
      </c>
      <c r="I230" s="43"/>
      <c r="J230"/>
    </row>
    <row r="231" spans="1:10" ht="12.15" hidden="1" customHeight="1" x14ac:dyDescent="0.3">
      <c r="A231" s="27">
        <v>45751</v>
      </c>
      <c r="B231" s="3" t="s">
        <v>68</v>
      </c>
      <c r="C231" s="4" t="s">
        <v>65</v>
      </c>
      <c r="D231" s="9" t="s">
        <v>9</v>
      </c>
      <c r="E231" s="12"/>
      <c r="F231" s="8">
        <v>13.5</v>
      </c>
      <c r="G231" s="11">
        <v>700</v>
      </c>
      <c r="H231" s="5">
        <f t="shared" si="4"/>
        <v>9450</v>
      </c>
      <c r="I231" s="43"/>
      <c r="J231"/>
    </row>
    <row r="232" spans="1:10" ht="12.15" hidden="1" customHeight="1" x14ac:dyDescent="0.3">
      <c r="A232" s="27">
        <v>45751</v>
      </c>
      <c r="B232" s="3" t="s">
        <v>68</v>
      </c>
      <c r="C232" s="4" t="s">
        <v>65</v>
      </c>
      <c r="D232" s="9" t="s">
        <v>10</v>
      </c>
      <c r="E232" s="12"/>
      <c r="F232" s="8">
        <v>13.5</v>
      </c>
      <c r="G232" s="11">
        <v>600</v>
      </c>
      <c r="H232" s="5">
        <f t="shared" si="4"/>
        <v>8100</v>
      </c>
      <c r="I232" s="43"/>
      <c r="J232"/>
    </row>
    <row r="233" spans="1:10" ht="12.15" hidden="1" customHeight="1" x14ac:dyDescent="0.3">
      <c r="A233" s="27">
        <v>45751</v>
      </c>
      <c r="B233" s="3" t="s">
        <v>68</v>
      </c>
      <c r="C233" s="4" t="s">
        <v>65</v>
      </c>
      <c r="D233" s="32" t="s">
        <v>10</v>
      </c>
      <c r="F233" s="2">
        <v>4.5</v>
      </c>
      <c r="G233" s="13">
        <v>850</v>
      </c>
      <c r="H233" s="5">
        <f t="shared" si="4"/>
        <v>3825</v>
      </c>
      <c r="I233" s="43"/>
      <c r="J233"/>
    </row>
    <row r="234" spans="1:10" ht="12.15" hidden="1" customHeight="1" x14ac:dyDescent="0.3">
      <c r="A234" s="27">
        <v>45751</v>
      </c>
      <c r="B234" s="3" t="s">
        <v>68</v>
      </c>
      <c r="C234" s="4" t="s">
        <v>65</v>
      </c>
      <c r="D234" s="29" t="s">
        <v>10</v>
      </c>
      <c r="E234" s="30"/>
      <c r="F234" s="31">
        <v>1.5</v>
      </c>
      <c r="G234" s="31">
        <v>1500</v>
      </c>
      <c r="H234" s="5">
        <f t="shared" si="4"/>
        <v>2250</v>
      </c>
      <c r="I234" s="43"/>
      <c r="J234"/>
    </row>
    <row r="235" spans="1:10" ht="12.15" hidden="1" customHeight="1" x14ac:dyDescent="0.3">
      <c r="A235" s="27">
        <v>45751</v>
      </c>
      <c r="B235" s="3" t="s">
        <v>68</v>
      </c>
      <c r="C235" s="4" t="s">
        <v>65</v>
      </c>
      <c r="D235" s="29" t="s">
        <v>20</v>
      </c>
      <c r="F235" s="2">
        <v>9.5</v>
      </c>
      <c r="G235" s="13">
        <v>600</v>
      </c>
      <c r="H235" s="5">
        <f t="shared" si="4"/>
        <v>5700</v>
      </c>
      <c r="I235" s="43"/>
      <c r="J235"/>
    </row>
    <row r="236" spans="1:10" ht="12.15" hidden="1" customHeight="1" x14ac:dyDescent="0.3">
      <c r="A236" s="27">
        <v>45751</v>
      </c>
      <c r="B236" s="3" t="s">
        <v>68</v>
      </c>
      <c r="C236" s="4" t="s">
        <v>65</v>
      </c>
      <c r="D236" s="29" t="s">
        <v>20</v>
      </c>
      <c r="F236" s="2">
        <v>1</v>
      </c>
      <c r="G236" s="13">
        <v>850</v>
      </c>
      <c r="H236" s="5">
        <f t="shared" si="4"/>
        <v>850</v>
      </c>
      <c r="I236" s="43"/>
      <c r="J236"/>
    </row>
    <row r="237" spans="1:10" ht="12.15" hidden="1" customHeight="1" x14ac:dyDescent="0.3">
      <c r="A237" s="27">
        <v>45751</v>
      </c>
      <c r="B237" s="3" t="s">
        <v>68</v>
      </c>
      <c r="C237" s="4" t="s">
        <v>65</v>
      </c>
      <c r="D237" s="32" t="s">
        <v>47</v>
      </c>
      <c r="F237" s="2">
        <v>2</v>
      </c>
      <c r="G237" s="13">
        <v>600</v>
      </c>
      <c r="H237" s="5">
        <f t="shared" si="4"/>
        <v>1200</v>
      </c>
      <c r="I237" s="43"/>
      <c r="J237"/>
    </row>
    <row r="238" spans="1:10" ht="12.15" hidden="1" customHeight="1" x14ac:dyDescent="0.3">
      <c r="A238" s="27">
        <v>45751</v>
      </c>
      <c r="B238" s="3" t="s">
        <v>68</v>
      </c>
      <c r="C238" s="4" t="s">
        <v>65</v>
      </c>
      <c r="D238" s="32" t="s">
        <v>47</v>
      </c>
      <c r="F238" s="2">
        <v>2</v>
      </c>
      <c r="G238" s="13">
        <v>1000</v>
      </c>
      <c r="H238" s="5">
        <f t="shared" si="4"/>
        <v>2000</v>
      </c>
      <c r="I238" s="43"/>
      <c r="J238"/>
    </row>
    <row r="239" spans="1:10" ht="12.15" hidden="1" customHeight="1" x14ac:dyDescent="0.3">
      <c r="A239" s="27">
        <v>45752</v>
      </c>
      <c r="B239" s="3" t="s">
        <v>69</v>
      </c>
      <c r="C239" s="4" t="s">
        <v>30</v>
      </c>
      <c r="D239" s="32" t="s">
        <v>15</v>
      </c>
      <c r="F239" s="2">
        <v>-20</v>
      </c>
      <c r="G239" s="13">
        <v>480</v>
      </c>
      <c r="H239" s="5">
        <f t="shared" si="4"/>
        <v>-9600</v>
      </c>
      <c r="I239" s="43"/>
      <c r="J239"/>
    </row>
    <row r="240" spans="1:10" ht="12.15" hidden="1" customHeight="1" x14ac:dyDescent="0.3">
      <c r="A240" s="27">
        <v>45752</v>
      </c>
      <c r="B240" s="3" t="s">
        <v>69</v>
      </c>
      <c r="C240" s="4" t="s">
        <v>30</v>
      </c>
      <c r="D240" s="34" t="s">
        <v>5</v>
      </c>
      <c r="E240" s="14"/>
      <c r="F240" s="11">
        <v>-3.5</v>
      </c>
      <c r="G240" s="34">
        <v>1200</v>
      </c>
      <c r="H240" s="5">
        <f t="shared" si="4"/>
        <v>-4200</v>
      </c>
      <c r="I240" s="43"/>
      <c r="J240"/>
    </row>
    <row r="241" spans="1:10" ht="12.15" customHeight="1" x14ac:dyDescent="0.3">
      <c r="A241" s="27">
        <v>45752</v>
      </c>
      <c r="B241" s="3" t="s">
        <v>70</v>
      </c>
      <c r="C241" s="4" t="s">
        <v>65</v>
      </c>
      <c r="D241" s="9" t="s">
        <v>0</v>
      </c>
      <c r="E241" s="12"/>
      <c r="F241" s="8">
        <v>8.5</v>
      </c>
      <c r="G241" s="22">
        <v>700</v>
      </c>
      <c r="H241" s="5">
        <f t="shared" si="4"/>
        <v>5950</v>
      </c>
      <c r="I241" s="43"/>
      <c r="J241"/>
    </row>
    <row r="242" spans="1:10" ht="12.15" customHeight="1" x14ac:dyDescent="0.3">
      <c r="A242" s="27">
        <v>45753</v>
      </c>
      <c r="B242" s="3" t="s">
        <v>71</v>
      </c>
      <c r="C242" s="4" t="s">
        <v>65</v>
      </c>
      <c r="D242" s="9" t="s">
        <v>0</v>
      </c>
      <c r="F242" s="2">
        <v>18</v>
      </c>
      <c r="G242" s="33">
        <v>1000</v>
      </c>
      <c r="H242" s="5">
        <f t="shared" si="4"/>
        <v>18000</v>
      </c>
      <c r="I242" s="43"/>
      <c r="J242"/>
    </row>
    <row r="243" spans="1:10" ht="12.15" customHeight="1" x14ac:dyDescent="0.3">
      <c r="A243" s="27">
        <v>45755</v>
      </c>
      <c r="B243" s="3" t="s">
        <v>77</v>
      </c>
      <c r="C243" s="4" t="s">
        <v>65</v>
      </c>
      <c r="D243" s="32" t="s">
        <v>0</v>
      </c>
      <c r="F243" s="2">
        <v>5</v>
      </c>
      <c r="G243" s="33">
        <v>1000</v>
      </c>
      <c r="H243" s="5">
        <f t="shared" si="4"/>
        <v>5000</v>
      </c>
      <c r="I243" s="43"/>
      <c r="J243"/>
    </row>
    <row r="244" spans="1:10" ht="12.15" customHeight="1" x14ac:dyDescent="0.3">
      <c r="A244" s="27">
        <v>45752</v>
      </c>
      <c r="B244" s="3" t="s">
        <v>70</v>
      </c>
      <c r="C244" s="4" t="s">
        <v>65</v>
      </c>
      <c r="D244" s="9" t="s">
        <v>0</v>
      </c>
      <c r="F244" s="2">
        <v>1.5</v>
      </c>
      <c r="G244" s="33">
        <v>1200</v>
      </c>
      <c r="H244" s="5">
        <f t="shared" si="4"/>
        <v>1800</v>
      </c>
      <c r="I244" s="43"/>
      <c r="J244"/>
    </row>
    <row r="245" spans="1:10" ht="12.15" customHeight="1" x14ac:dyDescent="0.3">
      <c r="A245" s="27">
        <v>45752</v>
      </c>
      <c r="B245" s="3" t="s">
        <v>70</v>
      </c>
      <c r="C245" s="4" t="s">
        <v>65</v>
      </c>
      <c r="D245" s="9" t="s">
        <v>0</v>
      </c>
      <c r="E245" s="12"/>
      <c r="F245" s="8">
        <v>11.5</v>
      </c>
      <c r="G245" s="22">
        <v>600</v>
      </c>
      <c r="H245" s="5">
        <f t="shared" si="4"/>
        <v>6900</v>
      </c>
      <c r="I245" s="43"/>
      <c r="J245"/>
    </row>
    <row r="246" spans="1:10" ht="12.15" hidden="1" customHeight="1" x14ac:dyDescent="0.3">
      <c r="A246" s="27">
        <v>45752</v>
      </c>
      <c r="B246" s="3" t="s">
        <v>70</v>
      </c>
      <c r="C246" s="4" t="s">
        <v>65</v>
      </c>
      <c r="D246" s="29" t="s">
        <v>4</v>
      </c>
      <c r="F246" s="2">
        <v>5</v>
      </c>
      <c r="G246" s="13">
        <v>300</v>
      </c>
      <c r="H246" s="5">
        <f t="shared" si="4"/>
        <v>1500</v>
      </c>
      <c r="I246" s="43"/>
      <c r="J246"/>
    </row>
    <row r="247" spans="1:10" ht="12.15" hidden="1" customHeight="1" x14ac:dyDescent="0.3">
      <c r="A247" s="27">
        <v>45752</v>
      </c>
      <c r="B247" s="3" t="s">
        <v>70</v>
      </c>
      <c r="C247" s="4" t="s">
        <v>65</v>
      </c>
      <c r="D247" s="32" t="s">
        <v>9</v>
      </c>
      <c r="F247" s="2">
        <v>4.5</v>
      </c>
      <c r="G247" s="13">
        <v>700</v>
      </c>
      <c r="H247" s="5">
        <f t="shared" si="4"/>
        <v>3150</v>
      </c>
      <c r="I247" s="43"/>
      <c r="J247"/>
    </row>
    <row r="248" spans="1:10" ht="12.15" hidden="1" customHeight="1" x14ac:dyDescent="0.3">
      <c r="A248" s="27">
        <v>45752</v>
      </c>
      <c r="B248" s="3" t="s">
        <v>70</v>
      </c>
      <c r="C248" s="4" t="s">
        <v>65</v>
      </c>
      <c r="D248" s="9" t="s">
        <v>10</v>
      </c>
      <c r="F248" s="7">
        <v>7.5</v>
      </c>
      <c r="G248" s="13">
        <v>650</v>
      </c>
      <c r="H248" s="5">
        <f t="shared" si="4"/>
        <v>4875</v>
      </c>
      <c r="I248" s="43"/>
      <c r="J248"/>
    </row>
    <row r="249" spans="1:10" ht="12.15" hidden="1" customHeight="1" x14ac:dyDescent="0.3">
      <c r="A249" s="27">
        <v>45752</v>
      </c>
      <c r="B249" s="3" t="s">
        <v>70</v>
      </c>
      <c r="C249" s="4" t="s">
        <v>65</v>
      </c>
      <c r="D249" s="9" t="s">
        <v>10</v>
      </c>
      <c r="E249" s="30"/>
      <c r="F249" s="8">
        <v>3</v>
      </c>
      <c r="G249" s="11">
        <v>900</v>
      </c>
      <c r="H249" s="5">
        <f t="shared" si="4"/>
        <v>2700</v>
      </c>
      <c r="I249" s="43"/>
      <c r="J249"/>
    </row>
    <row r="250" spans="1:10" ht="12.15" hidden="1" customHeight="1" x14ac:dyDescent="0.3">
      <c r="A250" s="27">
        <v>45752</v>
      </c>
      <c r="B250" s="3" t="s">
        <v>70</v>
      </c>
      <c r="C250" s="4" t="s">
        <v>65</v>
      </c>
      <c r="D250" s="34" t="s">
        <v>10</v>
      </c>
      <c r="E250" s="14"/>
      <c r="F250" s="11">
        <v>1.5</v>
      </c>
      <c r="G250" s="11">
        <v>1500</v>
      </c>
      <c r="H250" s="5">
        <f t="shared" si="4"/>
        <v>2250</v>
      </c>
      <c r="I250" s="43"/>
      <c r="J250"/>
    </row>
    <row r="251" spans="1:10" ht="12.15" hidden="1" customHeight="1" x14ac:dyDescent="0.3">
      <c r="A251" s="27">
        <v>45752</v>
      </c>
      <c r="B251" s="3" t="s">
        <v>70</v>
      </c>
      <c r="C251" s="4" t="s">
        <v>65</v>
      </c>
      <c r="D251" s="9" t="s">
        <v>47</v>
      </c>
      <c r="E251" s="30"/>
      <c r="F251" s="8">
        <v>2</v>
      </c>
      <c r="G251" s="11">
        <v>600</v>
      </c>
      <c r="H251" s="5">
        <f t="shared" si="4"/>
        <v>1200</v>
      </c>
      <c r="I251" s="43"/>
      <c r="J251"/>
    </row>
    <row r="252" spans="1:10" ht="12.15" hidden="1" customHeight="1" x14ac:dyDescent="0.3">
      <c r="A252" s="27">
        <v>45752</v>
      </c>
      <c r="B252" s="3" t="s">
        <v>70</v>
      </c>
      <c r="C252" s="4" t="s">
        <v>65</v>
      </c>
      <c r="D252" s="32" t="s">
        <v>12</v>
      </c>
      <c r="F252" s="7">
        <v>2.5</v>
      </c>
      <c r="G252" s="13">
        <v>500</v>
      </c>
      <c r="H252" s="5">
        <f t="shared" si="4"/>
        <v>1250</v>
      </c>
      <c r="I252" s="43"/>
      <c r="J252"/>
    </row>
    <row r="253" spans="1:10" ht="12.15" customHeight="1" x14ac:dyDescent="0.3">
      <c r="A253" s="27">
        <v>45753</v>
      </c>
      <c r="B253" s="3" t="s">
        <v>71</v>
      </c>
      <c r="C253" s="4" t="s">
        <v>65</v>
      </c>
      <c r="D253" s="32" t="s">
        <v>0</v>
      </c>
      <c r="F253" s="2">
        <v>13.5</v>
      </c>
      <c r="G253" s="33">
        <v>700</v>
      </c>
      <c r="H253" s="5">
        <f t="shared" si="4"/>
        <v>9450</v>
      </c>
      <c r="I253" s="43"/>
      <c r="J253"/>
    </row>
    <row r="254" spans="1:10" ht="12.15" customHeight="1" x14ac:dyDescent="0.3">
      <c r="A254" s="27">
        <v>45788</v>
      </c>
      <c r="B254" s="3" t="s">
        <v>115</v>
      </c>
      <c r="C254" s="4" t="s">
        <v>46</v>
      </c>
      <c r="D254" s="32" t="s">
        <v>0</v>
      </c>
      <c r="F254" s="2">
        <v>90</v>
      </c>
      <c r="G254" s="33">
        <v>1000</v>
      </c>
      <c r="H254" s="5">
        <f t="shared" si="4"/>
        <v>90000</v>
      </c>
      <c r="I254" s="43"/>
      <c r="J254"/>
    </row>
    <row r="255" spans="1:10" ht="12.15" customHeight="1" x14ac:dyDescent="0.3">
      <c r="A255" s="27">
        <v>45753</v>
      </c>
      <c r="B255" s="3" t="s">
        <v>71</v>
      </c>
      <c r="C255" s="4" t="s">
        <v>65</v>
      </c>
      <c r="D255" s="34" t="s">
        <v>0</v>
      </c>
      <c r="E255" s="14"/>
      <c r="F255" s="11">
        <v>8</v>
      </c>
      <c r="G255" s="22">
        <v>1200</v>
      </c>
      <c r="H255" s="5">
        <f t="shared" si="4"/>
        <v>9600</v>
      </c>
      <c r="I255" s="43"/>
      <c r="J255"/>
    </row>
    <row r="256" spans="1:10" ht="12.15" customHeight="1" x14ac:dyDescent="0.3">
      <c r="A256" s="27">
        <v>45790</v>
      </c>
      <c r="B256" s="3" t="s">
        <v>119</v>
      </c>
      <c r="C256" s="4" t="s">
        <v>46</v>
      </c>
      <c r="D256" s="9" t="s">
        <v>0</v>
      </c>
      <c r="E256" s="12"/>
      <c r="F256" s="8">
        <v>210</v>
      </c>
      <c r="G256" s="22">
        <v>1000</v>
      </c>
      <c r="H256" s="5">
        <f t="shared" si="4"/>
        <v>210000</v>
      </c>
      <c r="I256" s="43"/>
      <c r="J256"/>
    </row>
    <row r="257" spans="1:10" ht="12.15" customHeight="1" x14ac:dyDescent="0.3">
      <c r="A257" s="27">
        <v>45753</v>
      </c>
      <c r="B257" s="3" t="s">
        <v>71</v>
      </c>
      <c r="C257" s="4" t="s">
        <v>65</v>
      </c>
      <c r="D257" s="34" t="s">
        <v>0</v>
      </c>
      <c r="E257" s="12"/>
      <c r="F257" s="11">
        <v>20</v>
      </c>
      <c r="G257" s="22">
        <v>600</v>
      </c>
      <c r="H257" s="5">
        <f t="shared" si="4"/>
        <v>12000</v>
      </c>
      <c r="I257" s="43"/>
      <c r="J257"/>
    </row>
    <row r="258" spans="1:10" ht="12.15" hidden="1" customHeight="1" x14ac:dyDescent="0.3">
      <c r="A258" s="27">
        <v>45753</v>
      </c>
      <c r="B258" s="3" t="s">
        <v>71</v>
      </c>
      <c r="C258" s="4" t="s">
        <v>65</v>
      </c>
      <c r="D258" s="32" t="s">
        <v>4</v>
      </c>
      <c r="E258" s="14"/>
      <c r="F258" s="11">
        <v>6</v>
      </c>
      <c r="G258" s="11">
        <v>300</v>
      </c>
      <c r="H258" s="5">
        <f t="shared" si="4"/>
        <v>1800</v>
      </c>
      <c r="I258" s="43"/>
      <c r="J258"/>
    </row>
    <row r="259" spans="1:10" ht="12.15" hidden="1" customHeight="1" x14ac:dyDescent="0.3">
      <c r="A259" s="27">
        <v>45753</v>
      </c>
      <c r="B259" s="3" t="s">
        <v>71</v>
      </c>
      <c r="C259" s="4" t="s">
        <v>65</v>
      </c>
      <c r="D259" s="32" t="s">
        <v>5</v>
      </c>
      <c r="F259" s="2">
        <v>8.5</v>
      </c>
      <c r="G259" s="13">
        <v>600</v>
      </c>
      <c r="H259" s="5">
        <f t="shared" si="4"/>
        <v>5100</v>
      </c>
      <c r="I259" s="43"/>
      <c r="J259"/>
    </row>
    <row r="260" spans="1:10" ht="12.15" hidden="1" customHeight="1" x14ac:dyDescent="0.3">
      <c r="A260" s="27">
        <v>45753</v>
      </c>
      <c r="B260" s="3" t="s">
        <v>71</v>
      </c>
      <c r="C260" s="4" t="s">
        <v>65</v>
      </c>
      <c r="D260" s="32" t="s">
        <v>5</v>
      </c>
      <c r="F260" s="2">
        <v>22</v>
      </c>
      <c r="G260" s="13">
        <v>750</v>
      </c>
      <c r="H260" s="5">
        <f t="shared" si="4"/>
        <v>16500</v>
      </c>
      <c r="I260" s="43"/>
      <c r="J260"/>
    </row>
    <row r="261" spans="1:10" ht="12.15" hidden="1" customHeight="1" x14ac:dyDescent="0.3">
      <c r="A261" s="27">
        <v>45753</v>
      </c>
      <c r="B261" s="3" t="s">
        <v>71</v>
      </c>
      <c r="C261" s="4" t="s">
        <v>65</v>
      </c>
      <c r="D261" s="32" t="s">
        <v>8</v>
      </c>
      <c r="F261" s="2">
        <v>2.5</v>
      </c>
      <c r="G261" s="13">
        <v>250</v>
      </c>
      <c r="H261" s="5">
        <f t="shared" si="4"/>
        <v>625</v>
      </c>
      <c r="I261" s="43"/>
      <c r="J261"/>
    </row>
    <row r="262" spans="1:10" ht="12.15" hidden="1" customHeight="1" x14ac:dyDescent="0.3">
      <c r="A262" s="27">
        <v>45753</v>
      </c>
      <c r="B262" s="3" t="s">
        <v>71</v>
      </c>
      <c r="C262" s="4" t="s">
        <v>65</v>
      </c>
      <c r="D262" s="34" t="s">
        <v>8</v>
      </c>
      <c r="E262" s="36"/>
      <c r="F262" s="11">
        <v>1.5</v>
      </c>
      <c r="G262" s="11">
        <v>650</v>
      </c>
      <c r="H262" s="5">
        <f t="shared" si="4"/>
        <v>975</v>
      </c>
      <c r="I262" s="43"/>
      <c r="J262"/>
    </row>
    <row r="263" spans="1:10" ht="12.15" hidden="1" customHeight="1" x14ac:dyDescent="0.3">
      <c r="A263" s="27">
        <v>45753</v>
      </c>
      <c r="B263" s="3" t="s">
        <v>71</v>
      </c>
      <c r="C263" s="4" t="s">
        <v>65</v>
      </c>
      <c r="D263" s="32" t="s">
        <v>9</v>
      </c>
      <c r="F263" s="2">
        <v>17.5</v>
      </c>
      <c r="G263" s="13">
        <v>700</v>
      </c>
      <c r="H263" s="5">
        <f t="shared" si="4"/>
        <v>12250</v>
      </c>
      <c r="I263" s="43"/>
      <c r="J263"/>
    </row>
    <row r="264" spans="1:10" ht="12.15" hidden="1" customHeight="1" x14ac:dyDescent="0.3">
      <c r="A264" s="27">
        <v>45753</v>
      </c>
      <c r="B264" s="3" t="s">
        <v>71</v>
      </c>
      <c r="C264" s="4" t="s">
        <v>65</v>
      </c>
      <c r="D264" s="32" t="s">
        <v>10</v>
      </c>
      <c r="F264" s="2">
        <v>18.5</v>
      </c>
      <c r="G264" s="13">
        <v>650</v>
      </c>
      <c r="H264" s="5">
        <f t="shared" ref="H264:H327" si="5">(E264*G264)+(F264*G264)</f>
        <v>12025</v>
      </c>
      <c r="I264" s="43"/>
      <c r="J264"/>
    </row>
    <row r="265" spans="1:10" ht="12.15" hidden="1" customHeight="1" x14ac:dyDescent="0.3">
      <c r="A265" s="27">
        <v>45753</v>
      </c>
      <c r="B265" s="3" t="s">
        <v>71</v>
      </c>
      <c r="C265" s="4" t="s">
        <v>65</v>
      </c>
      <c r="D265" s="34" t="s">
        <v>10</v>
      </c>
      <c r="E265" s="14"/>
      <c r="F265" s="11">
        <v>9</v>
      </c>
      <c r="G265" s="11">
        <v>900</v>
      </c>
      <c r="H265" s="5">
        <f t="shared" si="5"/>
        <v>8100</v>
      </c>
      <c r="I265" s="43"/>
      <c r="J265"/>
    </row>
    <row r="266" spans="1:10" ht="12.15" hidden="1" customHeight="1" x14ac:dyDescent="0.3">
      <c r="A266" s="27">
        <v>45753</v>
      </c>
      <c r="B266" s="3" t="s">
        <v>71</v>
      </c>
      <c r="C266" s="4" t="s">
        <v>65</v>
      </c>
      <c r="D266" s="32" t="s">
        <v>10</v>
      </c>
      <c r="F266" s="2">
        <v>2</v>
      </c>
      <c r="G266" s="13">
        <v>1400</v>
      </c>
      <c r="H266" s="5">
        <f t="shared" si="5"/>
        <v>2800</v>
      </c>
      <c r="I266" s="43"/>
      <c r="J266"/>
    </row>
    <row r="267" spans="1:10" ht="12.15" hidden="1" customHeight="1" x14ac:dyDescent="0.3">
      <c r="A267" s="27">
        <v>45753</v>
      </c>
      <c r="B267" s="3" t="s">
        <v>71</v>
      </c>
      <c r="C267" s="4" t="s">
        <v>65</v>
      </c>
      <c r="D267" s="4" t="s">
        <v>12</v>
      </c>
      <c r="F267" s="2">
        <v>8.5</v>
      </c>
      <c r="G267" s="13">
        <v>600</v>
      </c>
      <c r="H267" s="5">
        <f t="shared" si="5"/>
        <v>5100</v>
      </c>
      <c r="I267" s="43"/>
      <c r="J267"/>
    </row>
    <row r="268" spans="1:10" ht="12.15" hidden="1" customHeight="1" x14ac:dyDescent="0.3">
      <c r="A268" s="27">
        <v>45753</v>
      </c>
      <c r="B268" s="3" t="s">
        <v>71</v>
      </c>
      <c r="C268" s="4" t="s">
        <v>65</v>
      </c>
      <c r="D268" s="29" t="s">
        <v>47</v>
      </c>
      <c r="E268" s="30"/>
      <c r="F268" s="31">
        <v>7</v>
      </c>
      <c r="G268" s="31">
        <v>500</v>
      </c>
      <c r="H268" s="5">
        <f t="shared" si="5"/>
        <v>3500</v>
      </c>
      <c r="I268" s="43"/>
      <c r="J268"/>
    </row>
    <row r="269" spans="1:10" ht="12.15" hidden="1" customHeight="1" x14ac:dyDescent="0.3">
      <c r="A269" s="27">
        <v>45753</v>
      </c>
      <c r="B269" s="3" t="s">
        <v>71</v>
      </c>
      <c r="C269" s="4" t="s">
        <v>65</v>
      </c>
      <c r="D269" s="32" t="s">
        <v>47</v>
      </c>
      <c r="F269" s="2">
        <v>3.5</v>
      </c>
      <c r="G269" s="13">
        <v>700</v>
      </c>
      <c r="H269" s="5">
        <f t="shared" si="5"/>
        <v>2450</v>
      </c>
      <c r="I269" s="43"/>
      <c r="J269"/>
    </row>
    <row r="270" spans="1:10" ht="12.15" hidden="1" customHeight="1" x14ac:dyDescent="0.3">
      <c r="A270" s="27">
        <v>45753</v>
      </c>
      <c r="B270" s="3" t="s">
        <v>71</v>
      </c>
      <c r="C270" s="4" t="s">
        <v>65</v>
      </c>
      <c r="D270" s="9" t="s">
        <v>47</v>
      </c>
      <c r="E270" s="12"/>
      <c r="F270" s="8">
        <v>2</v>
      </c>
      <c r="G270" s="11">
        <v>1000</v>
      </c>
      <c r="H270" s="5">
        <f t="shared" si="5"/>
        <v>2000</v>
      </c>
      <c r="I270" s="43"/>
      <c r="J270"/>
    </row>
    <row r="271" spans="1:10" ht="12.15" hidden="1" customHeight="1" x14ac:dyDescent="0.3">
      <c r="A271" s="27">
        <v>45753</v>
      </c>
      <c r="B271" s="3" t="s">
        <v>71</v>
      </c>
      <c r="C271" s="4" t="s">
        <v>65</v>
      </c>
      <c r="D271" s="9" t="s">
        <v>20</v>
      </c>
      <c r="F271" s="2">
        <v>6</v>
      </c>
      <c r="G271" s="13">
        <v>650</v>
      </c>
      <c r="H271" s="5">
        <f t="shared" si="5"/>
        <v>3900</v>
      </c>
      <c r="I271" s="43"/>
      <c r="J271"/>
    </row>
    <row r="272" spans="1:10" ht="12.15" hidden="1" customHeight="1" x14ac:dyDescent="0.3">
      <c r="A272" s="27">
        <v>45754</v>
      </c>
      <c r="B272" s="3" t="s">
        <v>72</v>
      </c>
      <c r="C272" s="4" t="s">
        <v>30</v>
      </c>
      <c r="D272" s="32" t="s">
        <v>15</v>
      </c>
      <c r="F272" s="2">
        <v>-10</v>
      </c>
      <c r="G272" s="13">
        <v>480</v>
      </c>
      <c r="H272" s="5">
        <f t="shared" si="5"/>
        <v>-4800</v>
      </c>
      <c r="I272" s="43"/>
      <c r="J272"/>
    </row>
    <row r="273" spans="1:10" ht="12.15" hidden="1" customHeight="1" x14ac:dyDescent="0.3">
      <c r="A273" s="27">
        <v>45754</v>
      </c>
      <c r="B273" s="3" t="s">
        <v>72</v>
      </c>
      <c r="C273" s="4" t="s">
        <v>30</v>
      </c>
      <c r="D273" s="32" t="s">
        <v>15</v>
      </c>
      <c r="F273" s="11">
        <v>-20</v>
      </c>
      <c r="G273" s="11">
        <v>430</v>
      </c>
      <c r="H273" s="5">
        <f t="shared" si="5"/>
        <v>-8600</v>
      </c>
      <c r="I273" s="43"/>
      <c r="J273"/>
    </row>
    <row r="274" spans="1:10" ht="12.15" hidden="1" customHeight="1" x14ac:dyDescent="0.3">
      <c r="A274" s="27">
        <v>45754</v>
      </c>
      <c r="B274" s="3" t="s">
        <v>72</v>
      </c>
      <c r="C274" s="4" t="s">
        <v>30</v>
      </c>
      <c r="D274" s="32" t="s">
        <v>15</v>
      </c>
      <c r="F274" s="11">
        <v>-10</v>
      </c>
      <c r="G274" s="11">
        <v>400</v>
      </c>
      <c r="H274" s="5">
        <f t="shared" si="5"/>
        <v>-4000</v>
      </c>
      <c r="I274" s="43"/>
      <c r="J274"/>
    </row>
    <row r="275" spans="1:10" ht="12.15" customHeight="1" x14ac:dyDescent="0.3">
      <c r="A275" s="27">
        <v>45754</v>
      </c>
      <c r="B275" s="3" t="s">
        <v>72</v>
      </c>
      <c r="C275" s="4" t="s">
        <v>30</v>
      </c>
      <c r="D275" s="32" t="s">
        <v>0</v>
      </c>
      <c r="F275" s="2">
        <v>-2</v>
      </c>
      <c r="G275" s="33">
        <v>1200</v>
      </c>
      <c r="H275" s="5">
        <f t="shared" si="5"/>
        <v>-2400</v>
      </c>
      <c r="I275" s="43"/>
      <c r="J275"/>
    </row>
    <row r="276" spans="1:10" ht="12.15" hidden="1" customHeight="1" x14ac:dyDescent="0.3">
      <c r="A276" s="27">
        <v>45754</v>
      </c>
      <c r="B276" s="3" t="s">
        <v>72</v>
      </c>
      <c r="C276" s="4" t="s">
        <v>30</v>
      </c>
      <c r="D276" s="32" t="s">
        <v>15</v>
      </c>
      <c r="F276" s="8">
        <v>-10</v>
      </c>
      <c r="G276" s="11">
        <v>420</v>
      </c>
      <c r="H276" s="5">
        <f t="shared" si="5"/>
        <v>-4200</v>
      </c>
      <c r="I276" s="43"/>
      <c r="J276"/>
    </row>
    <row r="277" spans="1:10" ht="12.15" hidden="1" customHeight="1" x14ac:dyDescent="0.3">
      <c r="A277" s="27">
        <v>45755</v>
      </c>
      <c r="B277" s="3" t="s">
        <v>73</v>
      </c>
      <c r="C277" s="4" t="s">
        <v>30</v>
      </c>
      <c r="D277" s="32" t="s">
        <v>8</v>
      </c>
      <c r="F277" s="7">
        <v>-2.7</v>
      </c>
      <c r="G277" s="13">
        <v>750</v>
      </c>
      <c r="H277" s="5">
        <f t="shared" si="5"/>
        <v>-2025.0000000000002</v>
      </c>
      <c r="I277" s="43"/>
      <c r="J277"/>
    </row>
    <row r="278" spans="1:10" ht="12.15" hidden="1" customHeight="1" x14ac:dyDescent="0.3">
      <c r="A278" s="27">
        <v>45755</v>
      </c>
      <c r="B278" s="3" t="s">
        <v>73</v>
      </c>
      <c r="C278" s="4" t="s">
        <v>30</v>
      </c>
      <c r="D278" s="32" t="s">
        <v>47</v>
      </c>
      <c r="E278" s="2"/>
      <c r="F278" s="2">
        <v>-4.5</v>
      </c>
      <c r="G278" s="13">
        <v>700</v>
      </c>
      <c r="H278" s="5">
        <f t="shared" si="5"/>
        <v>-3150</v>
      </c>
      <c r="I278" s="43"/>
      <c r="J278"/>
    </row>
    <row r="279" spans="1:10" ht="12.15" hidden="1" customHeight="1" x14ac:dyDescent="0.3">
      <c r="A279" s="27">
        <v>45755</v>
      </c>
      <c r="B279" s="3" t="s">
        <v>73</v>
      </c>
      <c r="C279" s="4" t="s">
        <v>30</v>
      </c>
      <c r="D279" s="32" t="s">
        <v>2</v>
      </c>
      <c r="F279" s="2">
        <v>-1.4</v>
      </c>
      <c r="G279" s="13">
        <v>700</v>
      </c>
      <c r="H279" s="5">
        <f t="shared" si="5"/>
        <v>-979.99999999999989</v>
      </c>
      <c r="I279" s="43"/>
      <c r="J279"/>
    </row>
    <row r="280" spans="1:10" ht="12.15" hidden="1" customHeight="1" x14ac:dyDescent="0.3">
      <c r="A280" s="27">
        <v>45755</v>
      </c>
      <c r="B280" s="3" t="s">
        <v>73</v>
      </c>
      <c r="C280" s="4" t="s">
        <v>30</v>
      </c>
      <c r="D280" s="32" t="s">
        <v>15</v>
      </c>
      <c r="F280" s="2">
        <v>-40</v>
      </c>
      <c r="G280" s="13">
        <v>500</v>
      </c>
      <c r="H280" s="5">
        <f t="shared" si="5"/>
        <v>-20000</v>
      </c>
      <c r="I280" s="43"/>
      <c r="J280"/>
    </row>
    <row r="281" spans="1:10" ht="12.15" hidden="1" customHeight="1" x14ac:dyDescent="0.3">
      <c r="A281" s="27">
        <v>45755</v>
      </c>
      <c r="B281" s="3" t="s">
        <v>73</v>
      </c>
      <c r="C281" s="4" t="s">
        <v>30</v>
      </c>
      <c r="D281" s="32" t="s">
        <v>74</v>
      </c>
      <c r="F281" s="2">
        <v>-28</v>
      </c>
      <c r="G281" s="13">
        <v>700</v>
      </c>
      <c r="H281" s="5">
        <f t="shared" si="5"/>
        <v>-19600</v>
      </c>
      <c r="I281" s="43"/>
      <c r="J281"/>
    </row>
    <row r="282" spans="1:10" ht="12.15" hidden="1" customHeight="1" x14ac:dyDescent="0.3">
      <c r="A282" s="27">
        <v>45755</v>
      </c>
      <c r="B282" s="3" t="s">
        <v>75</v>
      </c>
      <c r="C282" s="4" t="s">
        <v>76</v>
      </c>
      <c r="D282" s="32" t="s">
        <v>74</v>
      </c>
      <c r="F282" s="2">
        <v>28</v>
      </c>
      <c r="G282" s="13">
        <v>650</v>
      </c>
      <c r="H282" s="5">
        <f t="shared" si="5"/>
        <v>18200</v>
      </c>
      <c r="I282" s="43"/>
      <c r="J282"/>
    </row>
    <row r="283" spans="1:10" ht="12.15" customHeight="1" x14ac:dyDescent="0.3">
      <c r="A283" s="27">
        <v>45750</v>
      </c>
      <c r="B283" s="3" t="s">
        <v>64</v>
      </c>
      <c r="C283" s="4" t="s">
        <v>65</v>
      </c>
      <c r="D283" s="9" t="s">
        <v>0</v>
      </c>
      <c r="E283" s="12"/>
      <c r="F283" s="8">
        <v>4.5</v>
      </c>
      <c r="G283" s="22">
        <v>900</v>
      </c>
      <c r="H283" s="5">
        <f t="shared" si="5"/>
        <v>4050</v>
      </c>
      <c r="I283" s="43"/>
      <c r="J283"/>
    </row>
    <row r="284" spans="1:10" ht="12.15" customHeight="1" x14ac:dyDescent="0.3">
      <c r="A284" s="27">
        <v>45755</v>
      </c>
      <c r="B284" s="3" t="s">
        <v>77</v>
      </c>
      <c r="C284" s="4" t="s">
        <v>65</v>
      </c>
      <c r="D284" s="34" t="s">
        <v>0</v>
      </c>
      <c r="E284" s="14"/>
      <c r="F284" s="11">
        <v>2.5</v>
      </c>
      <c r="G284" s="22">
        <v>1100</v>
      </c>
      <c r="H284" s="5">
        <f t="shared" si="5"/>
        <v>2750</v>
      </c>
      <c r="I284" s="43"/>
      <c r="J284"/>
    </row>
    <row r="285" spans="1:10" ht="12.15" customHeight="1" x14ac:dyDescent="0.3">
      <c r="A285" s="27">
        <v>45755</v>
      </c>
      <c r="B285" s="3" t="s">
        <v>77</v>
      </c>
      <c r="C285" s="4" t="s">
        <v>65</v>
      </c>
      <c r="D285" s="29" t="s">
        <v>0</v>
      </c>
      <c r="E285" s="30"/>
      <c r="F285" s="31">
        <v>2.5</v>
      </c>
      <c r="G285" s="41">
        <v>1200</v>
      </c>
      <c r="H285" s="5">
        <f t="shared" si="5"/>
        <v>3000</v>
      </c>
      <c r="I285" s="43"/>
      <c r="J285"/>
    </row>
    <row r="286" spans="1:10" ht="12.15" customHeight="1" x14ac:dyDescent="0.3">
      <c r="A286" s="27">
        <v>45755</v>
      </c>
      <c r="B286" s="3" t="s">
        <v>77</v>
      </c>
      <c r="C286" s="4" t="s">
        <v>65</v>
      </c>
      <c r="D286" s="29" t="s">
        <v>0</v>
      </c>
      <c r="E286" s="38"/>
      <c r="F286" s="31">
        <v>2</v>
      </c>
      <c r="G286" s="41">
        <v>600</v>
      </c>
      <c r="H286" s="5">
        <f t="shared" si="5"/>
        <v>1200</v>
      </c>
      <c r="I286" s="43"/>
      <c r="J286"/>
    </row>
    <row r="287" spans="1:10" ht="12.15" hidden="1" customHeight="1" x14ac:dyDescent="0.3">
      <c r="A287" s="27">
        <v>45755</v>
      </c>
      <c r="B287" s="3" t="s">
        <v>77</v>
      </c>
      <c r="C287" s="4" t="s">
        <v>65</v>
      </c>
      <c r="D287" s="9" t="s">
        <v>4</v>
      </c>
      <c r="E287" s="12"/>
      <c r="F287" s="31">
        <v>2.5</v>
      </c>
      <c r="G287" s="11">
        <v>350</v>
      </c>
      <c r="H287" s="5">
        <f t="shared" si="5"/>
        <v>875</v>
      </c>
      <c r="I287" s="43"/>
      <c r="J287"/>
    </row>
    <row r="288" spans="1:10" ht="12.15" hidden="1" customHeight="1" x14ac:dyDescent="0.3">
      <c r="A288" s="27">
        <v>45755</v>
      </c>
      <c r="B288" s="3" t="s">
        <v>77</v>
      </c>
      <c r="C288" s="4" t="s">
        <v>65</v>
      </c>
      <c r="D288" s="9" t="s">
        <v>5</v>
      </c>
      <c r="F288" s="2">
        <v>4</v>
      </c>
      <c r="G288" s="11">
        <v>750</v>
      </c>
      <c r="H288" s="5">
        <f t="shared" si="5"/>
        <v>3000</v>
      </c>
      <c r="I288" s="43"/>
      <c r="J288"/>
    </row>
    <row r="289" spans="1:10" ht="12.15" hidden="1" customHeight="1" x14ac:dyDescent="0.3">
      <c r="A289" s="27">
        <v>45755</v>
      </c>
      <c r="B289" s="3" t="s">
        <v>77</v>
      </c>
      <c r="C289" s="4" t="s">
        <v>65</v>
      </c>
      <c r="D289" s="32" t="s">
        <v>5</v>
      </c>
      <c r="E289" s="3"/>
      <c r="F289" s="2">
        <v>1</v>
      </c>
      <c r="G289" s="13">
        <v>300</v>
      </c>
      <c r="H289" s="5">
        <f t="shared" si="5"/>
        <v>300</v>
      </c>
      <c r="I289" s="43"/>
      <c r="J289"/>
    </row>
    <row r="290" spans="1:10" ht="12.15" hidden="1" customHeight="1" x14ac:dyDescent="0.3">
      <c r="A290" s="27">
        <v>45755</v>
      </c>
      <c r="B290" s="3" t="s">
        <v>77</v>
      </c>
      <c r="C290" s="4" t="s">
        <v>65</v>
      </c>
      <c r="D290" s="34" t="s">
        <v>9</v>
      </c>
      <c r="E290" s="39"/>
      <c r="F290" s="8">
        <v>6</v>
      </c>
      <c r="G290" s="11">
        <v>700</v>
      </c>
      <c r="H290" s="5">
        <f t="shared" si="5"/>
        <v>4200</v>
      </c>
      <c r="I290" s="43"/>
      <c r="J290"/>
    </row>
    <row r="291" spans="1:10" ht="12.15" hidden="1" customHeight="1" x14ac:dyDescent="0.3">
      <c r="A291" s="27">
        <v>45755</v>
      </c>
      <c r="B291" s="3" t="s">
        <v>77</v>
      </c>
      <c r="C291" s="4" t="s">
        <v>65</v>
      </c>
      <c r="D291" s="34" t="s">
        <v>10</v>
      </c>
      <c r="E291" s="39"/>
      <c r="F291" s="11">
        <v>1</v>
      </c>
      <c r="G291" s="11">
        <v>1000</v>
      </c>
      <c r="H291" s="5">
        <f t="shared" si="5"/>
        <v>1000</v>
      </c>
      <c r="I291" s="43"/>
      <c r="J291"/>
    </row>
    <row r="292" spans="1:10" ht="12.15" hidden="1" customHeight="1" x14ac:dyDescent="0.3">
      <c r="A292" s="27">
        <v>45755</v>
      </c>
      <c r="B292" s="3" t="s">
        <v>77</v>
      </c>
      <c r="C292" s="4" t="s">
        <v>65</v>
      </c>
      <c r="D292" s="32" t="s">
        <v>10</v>
      </c>
      <c r="E292" s="2"/>
      <c r="F292" s="2">
        <v>3</v>
      </c>
      <c r="G292" s="13">
        <v>700</v>
      </c>
      <c r="H292" s="5">
        <f t="shared" si="5"/>
        <v>2100</v>
      </c>
      <c r="I292" s="43"/>
      <c r="J292"/>
    </row>
    <row r="293" spans="1:10" ht="12.15" hidden="1" customHeight="1" x14ac:dyDescent="0.3">
      <c r="A293" s="27">
        <v>45755</v>
      </c>
      <c r="B293" s="3" t="s">
        <v>77</v>
      </c>
      <c r="C293" s="4" t="s">
        <v>65</v>
      </c>
      <c r="D293" s="9" t="s">
        <v>47</v>
      </c>
      <c r="F293" s="2">
        <v>5</v>
      </c>
      <c r="G293" s="13">
        <v>400</v>
      </c>
      <c r="H293" s="5">
        <f t="shared" si="5"/>
        <v>2000</v>
      </c>
      <c r="I293" s="43"/>
      <c r="J293"/>
    </row>
    <row r="294" spans="1:10" ht="12.15" hidden="1" customHeight="1" x14ac:dyDescent="0.3">
      <c r="A294" s="27">
        <v>45755</v>
      </c>
      <c r="B294" s="3" t="s">
        <v>77</v>
      </c>
      <c r="C294" s="4" t="s">
        <v>65</v>
      </c>
      <c r="D294" s="32" t="s">
        <v>47</v>
      </c>
      <c r="F294" s="2">
        <v>7.5</v>
      </c>
      <c r="G294" s="13">
        <v>700</v>
      </c>
      <c r="H294" s="5">
        <f t="shared" si="5"/>
        <v>5250</v>
      </c>
      <c r="I294" s="43"/>
      <c r="J294"/>
    </row>
    <row r="295" spans="1:10" ht="12.15" hidden="1" customHeight="1" x14ac:dyDescent="0.3">
      <c r="A295" s="27">
        <v>45755</v>
      </c>
      <c r="B295" s="3" t="s">
        <v>77</v>
      </c>
      <c r="C295" s="4" t="s">
        <v>65</v>
      </c>
      <c r="D295" s="32" t="s">
        <v>47</v>
      </c>
      <c r="F295" s="2">
        <v>4</v>
      </c>
      <c r="G295" s="13">
        <v>350</v>
      </c>
      <c r="H295" s="5">
        <f t="shared" si="5"/>
        <v>1400</v>
      </c>
      <c r="I295" s="43"/>
      <c r="J295"/>
    </row>
    <row r="296" spans="1:10" ht="12.15" hidden="1" customHeight="1" x14ac:dyDescent="0.3">
      <c r="A296" s="27">
        <v>45756</v>
      </c>
      <c r="B296" s="3" t="s">
        <v>78</v>
      </c>
      <c r="C296" s="4" t="s">
        <v>30</v>
      </c>
      <c r="D296" s="9" t="s">
        <v>15</v>
      </c>
      <c r="E296" s="12"/>
      <c r="F296" s="8">
        <v>-20</v>
      </c>
      <c r="G296" s="11">
        <v>500</v>
      </c>
      <c r="H296" s="5">
        <f t="shared" si="5"/>
        <v>-10000</v>
      </c>
      <c r="I296" s="43"/>
      <c r="J296"/>
    </row>
    <row r="297" spans="1:10" ht="12.15" hidden="1" customHeight="1" x14ac:dyDescent="0.3">
      <c r="A297" s="27">
        <v>45756</v>
      </c>
      <c r="B297" s="3" t="s">
        <v>78</v>
      </c>
      <c r="C297" s="4" t="s">
        <v>30</v>
      </c>
      <c r="D297" s="9" t="s">
        <v>15</v>
      </c>
      <c r="E297" s="12"/>
      <c r="F297" s="8">
        <v>-20</v>
      </c>
      <c r="G297" s="11">
        <v>420</v>
      </c>
      <c r="H297" s="5">
        <f t="shared" si="5"/>
        <v>-8400</v>
      </c>
      <c r="I297" s="43"/>
      <c r="J297"/>
    </row>
    <row r="298" spans="1:10" ht="12.15" hidden="1" customHeight="1" x14ac:dyDescent="0.3">
      <c r="A298" s="27">
        <v>45756</v>
      </c>
      <c r="B298" s="3" t="s">
        <v>78</v>
      </c>
      <c r="C298" s="4" t="s">
        <v>30</v>
      </c>
      <c r="D298" s="32" t="s">
        <v>20</v>
      </c>
      <c r="F298" s="2">
        <v>-4</v>
      </c>
      <c r="G298" s="13">
        <v>800</v>
      </c>
      <c r="H298" s="5">
        <f t="shared" si="5"/>
        <v>-3200</v>
      </c>
      <c r="I298" s="43"/>
      <c r="J298"/>
    </row>
    <row r="299" spans="1:10" ht="12.15" customHeight="1" x14ac:dyDescent="0.3">
      <c r="A299" s="27">
        <v>45756</v>
      </c>
      <c r="B299" s="3" t="s">
        <v>78</v>
      </c>
      <c r="C299" s="4" t="s">
        <v>30</v>
      </c>
      <c r="D299" s="32" t="s">
        <v>0</v>
      </c>
      <c r="F299" s="7">
        <v>-3</v>
      </c>
      <c r="G299" s="33">
        <v>1200</v>
      </c>
      <c r="H299" s="5">
        <f t="shared" si="5"/>
        <v>-3600</v>
      </c>
      <c r="I299" s="43"/>
      <c r="J299"/>
    </row>
    <row r="300" spans="1:10" ht="12.15" hidden="1" customHeight="1" x14ac:dyDescent="0.3">
      <c r="A300" s="27">
        <v>45756</v>
      </c>
      <c r="B300" s="3" t="s">
        <v>78</v>
      </c>
      <c r="C300" s="4" t="s">
        <v>30</v>
      </c>
      <c r="D300" s="34" t="s">
        <v>5</v>
      </c>
      <c r="E300" s="14"/>
      <c r="F300" s="11">
        <v>-3.9</v>
      </c>
      <c r="G300" s="11">
        <v>1100</v>
      </c>
      <c r="H300" s="5">
        <f t="shared" si="5"/>
        <v>-4290</v>
      </c>
      <c r="I300" s="43"/>
      <c r="J300"/>
    </row>
    <row r="301" spans="1:10" ht="12.15" customHeight="1" x14ac:dyDescent="0.3">
      <c r="A301" s="27">
        <v>45756</v>
      </c>
      <c r="B301" s="3" t="s">
        <v>79</v>
      </c>
      <c r="C301" s="4" t="s">
        <v>65</v>
      </c>
      <c r="D301" s="32" t="s">
        <v>0</v>
      </c>
      <c r="F301" s="2">
        <v>11.5</v>
      </c>
      <c r="G301" s="33">
        <v>800</v>
      </c>
      <c r="H301" s="5">
        <f t="shared" si="5"/>
        <v>9200</v>
      </c>
      <c r="I301" s="43"/>
      <c r="J301"/>
    </row>
    <row r="302" spans="1:10" ht="12.15" customHeight="1" x14ac:dyDescent="0.3">
      <c r="A302" s="27">
        <v>45756</v>
      </c>
      <c r="B302" s="3" t="s">
        <v>79</v>
      </c>
      <c r="C302" s="4" t="s">
        <v>65</v>
      </c>
      <c r="D302" s="32" t="s">
        <v>0</v>
      </c>
      <c r="F302" s="2">
        <v>7</v>
      </c>
      <c r="G302" s="33">
        <v>1100</v>
      </c>
      <c r="H302" s="5">
        <f t="shared" si="5"/>
        <v>7700</v>
      </c>
      <c r="I302" s="43"/>
      <c r="J302"/>
    </row>
    <row r="303" spans="1:10" ht="12.15" customHeight="1" x14ac:dyDescent="0.3">
      <c r="A303" s="27">
        <v>45756</v>
      </c>
      <c r="B303" s="3" t="s">
        <v>79</v>
      </c>
      <c r="C303" s="4" t="s">
        <v>65</v>
      </c>
      <c r="D303" s="32" t="s">
        <v>0</v>
      </c>
      <c r="E303" s="14"/>
      <c r="F303" s="11">
        <v>3</v>
      </c>
      <c r="G303" s="22">
        <v>1500</v>
      </c>
      <c r="H303" s="5">
        <f t="shared" si="5"/>
        <v>4500</v>
      </c>
      <c r="I303" s="43"/>
      <c r="J303"/>
    </row>
    <row r="304" spans="1:10" ht="12.15" customHeight="1" x14ac:dyDescent="0.3">
      <c r="A304" s="27">
        <v>45756</v>
      </c>
      <c r="B304" s="3" t="s">
        <v>79</v>
      </c>
      <c r="C304" s="4" t="s">
        <v>65</v>
      </c>
      <c r="D304" s="9" t="s">
        <v>0</v>
      </c>
      <c r="E304" s="30"/>
      <c r="F304" s="8">
        <v>8</v>
      </c>
      <c r="G304" s="22">
        <v>600</v>
      </c>
      <c r="H304" s="5">
        <f t="shared" si="5"/>
        <v>4800</v>
      </c>
      <c r="I304" s="43"/>
      <c r="J304"/>
    </row>
    <row r="305" spans="1:10" ht="12.15" hidden="1" customHeight="1" x14ac:dyDescent="0.3">
      <c r="A305" s="27">
        <v>45756</v>
      </c>
      <c r="B305" s="3" t="s">
        <v>79</v>
      </c>
      <c r="C305" s="4" t="s">
        <v>65</v>
      </c>
      <c r="D305" s="32" t="s">
        <v>4</v>
      </c>
      <c r="F305" s="7">
        <v>3.5</v>
      </c>
      <c r="G305" s="13">
        <v>300</v>
      </c>
      <c r="H305" s="5">
        <f t="shared" si="5"/>
        <v>1050</v>
      </c>
      <c r="I305" s="43"/>
      <c r="J305"/>
    </row>
    <row r="306" spans="1:10" ht="12.15" hidden="1" customHeight="1" x14ac:dyDescent="0.3">
      <c r="A306" s="27">
        <v>45756</v>
      </c>
      <c r="B306" s="3" t="s">
        <v>79</v>
      </c>
      <c r="C306" s="4" t="s">
        <v>65</v>
      </c>
      <c r="D306" s="15" t="s">
        <v>5</v>
      </c>
      <c r="E306" s="12"/>
      <c r="F306" s="8">
        <v>3</v>
      </c>
      <c r="G306" s="11">
        <v>900</v>
      </c>
      <c r="H306" s="5">
        <f t="shared" si="5"/>
        <v>2700</v>
      </c>
      <c r="I306" s="43"/>
      <c r="J306"/>
    </row>
    <row r="307" spans="1:10" ht="12.15" hidden="1" customHeight="1" x14ac:dyDescent="0.3">
      <c r="A307" s="27">
        <v>45756</v>
      </c>
      <c r="B307" s="3" t="s">
        <v>79</v>
      </c>
      <c r="C307" s="4" t="s">
        <v>65</v>
      </c>
      <c r="D307" s="9" t="s">
        <v>8</v>
      </c>
      <c r="E307" s="12"/>
      <c r="F307" s="8">
        <v>1</v>
      </c>
      <c r="G307" s="8">
        <v>400</v>
      </c>
      <c r="H307" s="5">
        <f t="shared" si="5"/>
        <v>400</v>
      </c>
      <c r="I307" s="43"/>
      <c r="J307"/>
    </row>
    <row r="308" spans="1:10" ht="12.15" hidden="1" customHeight="1" x14ac:dyDescent="0.3">
      <c r="A308" s="27">
        <v>45756</v>
      </c>
      <c r="B308" s="3" t="s">
        <v>79</v>
      </c>
      <c r="C308" s="4" t="s">
        <v>65</v>
      </c>
      <c r="D308" s="9" t="s">
        <v>8</v>
      </c>
      <c r="E308" s="12"/>
      <c r="F308" s="8">
        <v>1</v>
      </c>
      <c r="G308" s="11">
        <v>600</v>
      </c>
      <c r="H308" s="5">
        <f t="shared" si="5"/>
        <v>600</v>
      </c>
      <c r="I308" s="43"/>
      <c r="J308"/>
    </row>
    <row r="309" spans="1:10" ht="12.15" hidden="1" customHeight="1" x14ac:dyDescent="0.3">
      <c r="A309" s="27">
        <v>45756</v>
      </c>
      <c r="B309" s="3" t="s">
        <v>79</v>
      </c>
      <c r="C309" s="4" t="s">
        <v>65</v>
      </c>
      <c r="D309" s="15" t="s">
        <v>9</v>
      </c>
      <c r="E309" s="12"/>
      <c r="F309" s="8">
        <v>5</v>
      </c>
      <c r="G309" s="11">
        <v>800</v>
      </c>
      <c r="H309" s="5">
        <f t="shared" si="5"/>
        <v>4000</v>
      </c>
      <c r="I309" s="43"/>
      <c r="J309"/>
    </row>
    <row r="310" spans="1:10" ht="12.15" hidden="1" customHeight="1" x14ac:dyDescent="0.3">
      <c r="A310" s="27">
        <v>45756</v>
      </c>
      <c r="B310" s="3" t="s">
        <v>79</v>
      </c>
      <c r="C310" s="4" t="s">
        <v>65</v>
      </c>
      <c r="D310" s="34" t="s">
        <v>20</v>
      </c>
      <c r="E310" s="14"/>
      <c r="F310" s="8">
        <v>43</v>
      </c>
      <c r="G310" s="11">
        <v>600</v>
      </c>
      <c r="H310" s="5">
        <f t="shared" si="5"/>
        <v>25800</v>
      </c>
      <c r="I310" s="43"/>
      <c r="J310"/>
    </row>
    <row r="311" spans="1:10" ht="12.15" customHeight="1" x14ac:dyDescent="0.3">
      <c r="A311" s="27">
        <v>45752</v>
      </c>
      <c r="B311" s="3" t="s">
        <v>70</v>
      </c>
      <c r="C311" s="4" t="s">
        <v>65</v>
      </c>
      <c r="D311" s="32" t="s">
        <v>0</v>
      </c>
      <c r="F311" s="2">
        <v>6.5</v>
      </c>
      <c r="G311" s="33">
        <v>900</v>
      </c>
      <c r="H311" s="5">
        <f t="shared" si="5"/>
        <v>5850</v>
      </c>
      <c r="I311" s="43"/>
      <c r="J311"/>
    </row>
    <row r="312" spans="1:10" ht="12.15" customHeight="1" x14ac:dyDescent="0.3">
      <c r="A312" s="40">
        <v>45757</v>
      </c>
      <c r="B312" s="14" t="s">
        <v>80</v>
      </c>
      <c r="C312" s="15" t="s">
        <v>65</v>
      </c>
      <c r="D312" s="9" t="s">
        <v>0</v>
      </c>
      <c r="E312" s="12"/>
      <c r="F312" s="8">
        <v>3.5</v>
      </c>
      <c r="G312" s="22">
        <v>1100</v>
      </c>
      <c r="H312" s="5">
        <f t="shared" si="5"/>
        <v>3850</v>
      </c>
      <c r="I312" s="43"/>
      <c r="J312"/>
    </row>
    <row r="313" spans="1:10" ht="12.15" customHeight="1" x14ac:dyDescent="0.3">
      <c r="A313" s="40">
        <v>45757</v>
      </c>
      <c r="B313" s="14" t="s">
        <v>80</v>
      </c>
      <c r="C313" s="15" t="s">
        <v>65</v>
      </c>
      <c r="D313" s="9" t="s">
        <v>0</v>
      </c>
      <c r="E313" s="12"/>
      <c r="F313" s="17">
        <v>4.5</v>
      </c>
      <c r="G313" s="22">
        <v>1250</v>
      </c>
      <c r="H313" s="5">
        <f t="shared" si="5"/>
        <v>5625</v>
      </c>
      <c r="I313" s="43"/>
      <c r="J313"/>
    </row>
    <row r="314" spans="1:10" ht="12.15" customHeight="1" x14ac:dyDescent="0.3">
      <c r="A314" s="40">
        <v>45757</v>
      </c>
      <c r="B314" s="14" t="s">
        <v>80</v>
      </c>
      <c r="C314" s="15" t="s">
        <v>65</v>
      </c>
      <c r="D314" s="35" t="s">
        <v>0</v>
      </c>
      <c r="E314" s="12"/>
      <c r="F314" s="8">
        <v>2.5</v>
      </c>
      <c r="G314" s="22">
        <v>1500</v>
      </c>
      <c r="H314" s="5">
        <f t="shared" si="5"/>
        <v>3750</v>
      </c>
      <c r="I314" s="43"/>
      <c r="J314"/>
    </row>
    <row r="315" spans="1:10" ht="12.15" customHeight="1" x14ac:dyDescent="0.3">
      <c r="A315" s="40">
        <v>45757</v>
      </c>
      <c r="B315" s="14" t="s">
        <v>80</v>
      </c>
      <c r="C315" s="15" t="s">
        <v>65</v>
      </c>
      <c r="D315" s="9" t="s">
        <v>0</v>
      </c>
      <c r="E315" s="12"/>
      <c r="F315" s="8">
        <v>5.8</v>
      </c>
      <c r="G315" s="22">
        <v>600</v>
      </c>
      <c r="H315" s="5">
        <f t="shared" si="5"/>
        <v>3480</v>
      </c>
      <c r="I315" s="43"/>
      <c r="J315"/>
    </row>
    <row r="316" spans="1:10" ht="12.15" hidden="1" customHeight="1" x14ac:dyDescent="0.3">
      <c r="A316" s="40">
        <v>45757</v>
      </c>
      <c r="B316" s="14" t="s">
        <v>80</v>
      </c>
      <c r="C316" s="15" t="s">
        <v>65</v>
      </c>
      <c r="D316" s="9" t="s">
        <v>5</v>
      </c>
      <c r="E316" s="12"/>
      <c r="F316" s="8">
        <v>2</v>
      </c>
      <c r="G316" s="11">
        <v>600</v>
      </c>
      <c r="H316" s="5">
        <f t="shared" si="5"/>
        <v>1200</v>
      </c>
      <c r="I316" s="43"/>
      <c r="J316"/>
    </row>
    <row r="317" spans="1:10" ht="12.15" hidden="1" customHeight="1" x14ac:dyDescent="0.3">
      <c r="A317" s="40">
        <v>45757</v>
      </c>
      <c r="B317" s="14" t="s">
        <v>80</v>
      </c>
      <c r="C317" s="15" t="s">
        <v>65</v>
      </c>
      <c r="D317" s="9" t="s">
        <v>5</v>
      </c>
      <c r="E317" s="12"/>
      <c r="F317" s="8">
        <v>2.5</v>
      </c>
      <c r="G317" s="11">
        <v>800</v>
      </c>
      <c r="H317" s="5">
        <f t="shared" si="5"/>
        <v>2000</v>
      </c>
      <c r="I317" s="43"/>
      <c r="J317"/>
    </row>
    <row r="318" spans="1:10" ht="12.15" hidden="1" customHeight="1" x14ac:dyDescent="0.3">
      <c r="A318" s="40">
        <v>45757</v>
      </c>
      <c r="B318" s="14" t="s">
        <v>80</v>
      </c>
      <c r="C318" s="15" t="s">
        <v>65</v>
      </c>
      <c r="D318" s="9" t="s">
        <v>8</v>
      </c>
      <c r="E318" s="12"/>
      <c r="F318" s="17">
        <v>3</v>
      </c>
      <c r="G318" s="11">
        <v>300</v>
      </c>
      <c r="H318" s="5">
        <f t="shared" si="5"/>
        <v>900</v>
      </c>
      <c r="I318" s="43"/>
      <c r="J318"/>
    </row>
    <row r="319" spans="1:10" ht="12.15" hidden="1" customHeight="1" x14ac:dyDescent="0.3">
      <c r="A319" s="40">
        <v>45757</v>
      </c>
      <c r="B319" s="14" t="s">
        <v>80</v>
      </c>
      <c r="C319" s="15" t="s">
        <v>65</v>
      </c>
      <c r="D319" s="9" t="s">
        <v>8</v>
      </c>
      <c r="E319" s="12"/>
      <c r="F319" s="8">
        <v>5.5</v>
      </c>
      <c r="G319" s="11">
        <v>500</v>
      </c>
      <c r="H319" s="5">
        <f t="shared" si="5"/>
        <v>2750</v>
      </c>
      <c r="I319" s="43"/>
      <c r="J319"/>
    </row>
    <row r="320" spans="1:10" ht="12.15" hidden="1" customHeight="1" x14ac:dyDescent="0.3">
      <c r="A320" s="40">
        <v>45757</v>
      </c>
      <c r="B320" s="14" t="s">
        <v>80</v>
      </c>
      <c r="C320" s="15" t="s">
        <v>65</v>
      </c>
      <c r="D320" s="34" t="s">
        <v>8</v>
      </c>
      <c r="E320" s="14"/>
      <c r="F320" s="11">
        <v>1.8</v>
      </c>
      <c r="G320" s="34">
        <v>600</v>
      </c>
      <c r="H320" s="5">
        <f t="shared" si="5"/>
        <v>1080</v>
      </c>
      <c r="I320" s="43"/>
      <c r="J320"/>
    </row>
    <row r="321" spans="1:10" ht="12.15" hidden="1" customHeight="1" x14ac:dyDescent="0.3">
      <c r="A321" s="40">
        <v>45757</v>
      </c>
      <c r="B321" s="14" t="s">
        <v>80</v>
      </c>
      <c r="C321" s="15" t="s">
        <v>65</v>
      </c>
      <c r="D321" s="9" t="s">
        <v>12</v>
      </c>
      <c r="E321" s="12"/>
      <c r="F321" s="17">
        <v>2.9</v>
      </c>
      <c r="G321" s="11">
        <v>600</v>
      </c>
      <c r="H321" s="5">
        <f t="shared" si="5"/>
        <v>1740</v>
      </c>
      <c r="I321" s="43"/>
      <c r="J321"/>
    </row>
    <row r="322" spans="1:10" ht="12.15" hidden="1" customHeight="1" x14ac:dyDescent="0.3">
      <c r="A322" s="40">
        <v>45757</v>
      </c>
      <c r="B322" s="14" t="s">
        <v>80</v>
      </c>
      <c r="C322" s="15" t="s">
        <v>65</v>
      </c>
      <c r="D322" s="9" t="s">
        <v>47</v>
      </c>
      <c r="E322" s="12"/>
      <c r="F322" s="8">
        <v>2</v>
      </c>
      <c r="G322" s="11">
        <v>300</v>
      </c>
      <c r="H322" s="5">
        <f t="shared" si="5"/>
        <v>600</v>
      </c>
      <c r="I322" s="43"/>
      <c r="J322"/>
    </row>
    <row r="323" spans="1:10" ht="12.15" hidden="1" customHeight="1" x14ac:dyDescent="0.3">
      <c r="A323" s="40">
        <v>45757</v>
      </c>
      <c r="B323" s="14" t="s">
        <v>80</v>
      </c>
      <c r="C323" s="15" t="s">
        <v>65</v>
      </c>
      <c r="D323" s="9" t="s">
        <v>47</v>
      </c>
      <c r="E323" s="12"/>
      <c r="F323" s="8">
        <v>3</v>
      </c>
      <c r="G323" s="11">
        <v>500</v>
      </c>
      <c r="H323" s="5">
        <f t="shared" si="5"/>
        <v>1500</v>
      </c>
      <c r="I323" s="43"/>
      <c r="J323"/>
    </row>
    <row r="324" spans="1:10" ht="12.15" hidden="1" customHeight="1" x14ac:dyDescent="0.3">
      <c r="A324" s="40">
        <v>45757</v>
      </c>
      <c r="B324" s="14" t="s">
        <v>80</v>
      </c>
      <c r="C324" s="15" t="s">
        <v>65</v>
      </c>
      <c r="D324" s="32" t="s">
        <v>47</v>
      </c>
      <c r="F324" s="2">
        <v>1</v>
      </c>
      <c r="G324" s="13">
        <v>700</v>
      </c>
      <c r="H324" s="5">
        <f t="shared" si="5"/>
        <v>700</v>
      </c>
      <c r="I324" s="43"/>
      <c r="J324"/>
    </row>
    <row r="325" spans="1:10" ht="12.15" hidden="1" customHeight="1" x14ac:dyDescent="0.3">
      <c r="A325" s="40">
        <v>45758</v>
      </c>
      <c r="B325" s="14" t="s">
        <v>81</v>
      </c>
      <c r="C325" s="15" t="s">
        <v>30</v>
      </c>
      <c r="D325" s="32" t="s">
        <v>15</v>
      </c>
      <c r="F325" s="2">
        <v>-30</v>
      </c>
      <c r="G325" s="13">
        <v>500</v>
      </c>
      <c r="H325" s="5">
        <f t="shared" si="5"/>
        <v>-15000</v>
      </c>
      <c r="I325" s="43"/>
      <c r="J325"/>
    </row>
    <row r="326" spans="1:10" ht="12.15" hidden="1" customHeight="1" x14ac:dyDescent="0.3">
      <c r="A326" s="40">
        <v>45758</v>
      </c>
      <c r="B326" s="14" t="s">
        <v>81</v>
      </c>
      <c r="C326" s="15" t="s">
        <v>30</v>
      </c>
      <c r="D326" s="32" t="s">
        <v>15</v>
      </c>
      <c r="F326" s="2">
        <v>-10</v>
      </c>
      <c r="G326" s="13">
        <v>450</v>
      </c>
      <c r="H326" s="5">
        <f t="shared" si="5"/>
        <v>-4500</v>
      </c>
      <c r="I326" s="43"/>
      <c r="J326"/>
    </row>
    <row r="327" spans="1:10" ht="12.15" hidden="1" customHeight="1" x14ac:dyDescent="0.3">
      <c r="A327" s="40">
        <v>45758</v>
      </c>
      <c r="B327" s="14" t="s">
        <v>81</v>
      </c>
      <c r="C327" s="15" t="s">
        <v>30</v>
      </c>
      <c r="D327" s="9" t="s">
        <v>8</v>
      </c>
      <c r="E327" s="12"/>
      <c r="F327" s="8">
        <v>-2.5</v>
      </c>
      <c r="G327" s="11">
        <v>700</v>
      </c>
      <c r="H327" s="5">
        <f t="shared" si="5"/>
        <v>-1750</v>
      </c>
      <c r="I327" s="43"/>
      <c r="J327"/>
    </row>
    <row r="328" spans="1:10" ht="12.15" hidden="1" customHeight="1" x14ac:dyDescent="0.3">
      <c r="A328" s="40">
        <v>45758</v>
      </c>
      <c r="B328" s="14" t="s">
        <v>81</v>
      </c>
      <c r="C328" s="15" t="s">
        <v>30</v>
      </c>
      <c r="D328" s="9" t="s">
        <v>5</v>
      </c>
      <c r="E328" s="12"/>
      <c r="F328" s="8">
        <v>-2.5</v>
      </c>
      <c r="G328" s="11">
        <v>800</v>
      </c>
      <c r="H328" s="5">
        <f t="shared" ref="H328:H391" si="6">(E328*G328)+(F328*G328)</f>
        <v>-2000</v>
      </c>
      <c r="I328" s="43"/>
      <c r="J328"/>
    </row>
    <row r="329" spans="1:10" ht="12.15" hidden="1" customHeight="1" x14ac:dyDescent="0.3">
      <c r="A329" s="40">
        <v>45758</v>
      </c>
      <c r="B329" s="14" t="s">
        <v>81</v>
      </c>
      <c r="C329" s="15" t="s">
        <v>30</v>
      </c>
      <c r="D329" s="9" t="s">
        <v>2</v>
      </c>
      <c r="E329" s="14"/>
      <c r="F329" s="8">
        <v>-2</v>
      </c>
      <c r="G329" s="11">
        <v>800</v>
      </c>
      <c r="H329" s="5">
        <f t="shared" si="6"/>
        <v>-1600</v>
      </c>
      <c r="I329" s="43"/>
      <c r="J329"/>
    </row>
    <row r="330" spans="1:10" ht="12.15" customHeight="1" x14ac:dyDescent="0.3">
      <c r="A330" s="40">
        <v>45758</v>
      </c>
      <c r="B330" s="14" t="s">
        <v>81</v>
      </c>
      <c r="C330" s="15" t="s">
        <v>30</v>
      </c>
      <c r="D330" s="9" t="s">
        <v>0</v>
      </c>
      <c r="E330" s="14"/>
      <c r="F330" s="8">
        <v>-4.5</v>
      </c>
      <c r="G330" s="22">
        <v>1200</v>
      </c>
      <c r="H330" s="5">
        <f t="shared" si="6"/>
        <v>-5400</v>
      </c>
      <c r="I330" s="43"/>
      <c r="J330"/>
    </row>
    <row r="331" spans="1:10" ht="12.15" hidden="1" customHeight="1" x14ac:dyDescent="0.3">
      <c r="A331" s="40">
        <v>45759</v>
      </c>
      <c r="B331" s="14" t="s">
        <v>82</v>
      </c>
      <c r="C331" s="15" t="s">
        <v>30</v>
      </c>
      <c r="D331" s="32" t="s">
        <v>15</v>
      </c>
      <c r="F331" s="2">
        <v>-30</v>
      </c>
      <c r="G331" s="13">
        <v>500</v>
      </c>
      <c r="H331" s="5">
        <f t="shared" si="6"/>
        <v>-15000</v>
      </c>
      <c r="I331" s="43"/>
      <c r="J331"/>
    </row>
    <row r="332" spans="1:10" ht="12.15" hidden="1" customHeight="1" x14ac:dyDescent="0.3">
      <c r="A332" s="40">
        <v>45759</v>
      </c>
      <c r="B332" s="14" t="s">
        <v>82</v>
      </c>
      <c r="C332" s="15" t="s">
        <v>30</v>
      </c>
      <c r="D332" s="32" t="s">
        <v>15</v>
      </c>
      <c r="F332" s="2">
        <v>-10</v>
      </c>
      <c r="G332" s="13">
        <v>400</v>
      </c>
      <c r="H332" s="5">
        <f t="shared" si="6"/>
        <v>-4000</v>
      </c>
      <c r="I332" s="43"/>
      <c r="J332"/>
    </row>
    <row r="333" spans="1:10" ht="12.15" hidden="1" customHeight="1" x14ac:dyDescent="0.3">
      <c r="A333" s="40">
        <v>45759</v>
      </c>
      <c r="B333" s="14" t="s">
        <v>82</v>
      </c>
      <c r="C333" s="15" t="s">
        <v>30</v>
      </c>
      <c r="D333" s="34" t="s">
        <v>15</v>
      </c>
      <c r="E333" s="36"/>
      <c r="F333" s="11">
        <v>-10</v>
      </c>
      <c r="G333" s="11">
        <v>430</v>
      </c>
      <c r="H333" s="5">
        <f t="shared" si="6"/>
        <v>-4300</v>
      </c>
      <c r="I333" s="43"/>
      <c r="J333"/>
    </row>
    <row r="334" spans="1:10" ht="12.15" hidden="1" customHeight="1" x14ac:dyDescent="0.3">
      <c r="A334" s="40">
        <v>45761</v>
      </c>
      <c r="B334" s="14" t="s">
        <v>83</v>
      </c>
      <c r="C334" s="15" t="s">
        <v>30</v>
      </c>
      <c r="D334" s="34" t="s">
        <v>15</v>
      </c>
      <c r="E334" s="36"/>
      <c r="F334" s="11">
        <v>-20</v>
      </c>
      <c r="G334" s="11">
        <v>500</v>
      </c>
      <c r="H334" s="5">
        <f t="shared" si="6"/>
        <v>-10000</v>
      </c>
      <c r="I334" s="43"/>
      <c r="J334"/>
    </row>
    <row r="335" spans="1:10" ht="12.15" hidden="1" customHeight="1" x14ac:dyDescent="0.3">
      <c r="A335" s="40">
        <v>45761</v>
      </c>
      <c r="B335" s="14" t="s">
        <v>83</v>
      </c>
      <c r="C335" s="15" t="s">
        <v>30</v>
      </c>
      <c r="D335" s="9" t="s">
        <v>15</v>
      </c>
      <c r="E335" s="12"/>
      <c r="F335" s="8">
        <v>-10</v>
      </c>
      <c r="G335" s="11">
        <v>480</v>
      </c>
      <c r="H335" s="5">
        <f t="shared" si="6"/>
        <v>-4800</v>
      </c>
      <c r="I335" s="43"/>
      <c r="J335"/>
    </row>
    <row r="336" spans="1:10" ht="12.15" hidden="1" customHeight="1" x14ac:dyDescent="0.3">
      <c r="A336" s="40">
        <v>45761</v>
      </c>
      <c r="B336" s="14" t="s">
        <v>83</v>
      </c>
      <c r="C336" s="15" t="s">
        <v>30</v>
      </c>
      <c r="D336" s="35" t="s">
        <v>2</v>
      </c>
      <c r="E336" s="12"/>
      <c r="F336" s="8">
        <v>-10</v>
      </c>
      <c r="G336" s="11">
        <v>350</v>
      </c>
      <c r="H336" s="5">
        <f t="shared" si="6"/>
        <v>-3500</v>
      </c>
      <c r="I336" s="43"/>
      <c r="J336"/>
    </row>
    <row r="337" spans="1:10" ht="12.15" hidden="1" customHeight="1" x14ac:dyDescent="0.3">
      <c r="A337" s="40">
        <v>45761</v>
      </c>
      <c r="B337" s="14" t="s">
        <v>83</v>
      </c>
      <c r="C337" s="15" t="s">
        <v>30</v>
      </c>
      <c r="D337" s="9" t="s">
        <v>84</v>
      </c>
      <c r="E337" s="12"/>
      <c r="F337" s="8">
        <v>-20</v>
      </c>
      <c r="G337" s="11">
        <v>750</v>
      </c>
      <c r="H337" s="5">
        <f t="shared" si="6"/>
        <v>-15000</v>
      </c>
      <c r="I337" s="43"/>
      <c r="J337"/>
    </row>
    <row r="338" spans="1:10" ht="12.15" hidden="1" customHeight="1" x14ac:dyDescent="0.3">
      <c r="A338" s="40">
        <v>45761</v>
      </c>
      <c r="B338" s="14" t="s">
        <v>85</v>
      </c>
      <c r="C338" s="15" t="s">
        <v>76</v>
      </c>
      <c r="D338" s="34" t="s">
        <v>84</v>
      </c>
      <c r="E338" s="14"/>
      <c r="F338" s="8">
        <v>20</v>
      </c>
      <c r="G338" s="11">
        <v>700</v>
      </c>
      <c r="H338" s="5">
        <f t="shared" si="6"/>
        <v>14000</v>
      </c>
      <c r="I338" s="43"/>
      <c r="J338"/>
    </row>
    <row r="339" spans="1:10" ht="12.15" hidden="1" customHeight="1" x14ac:dyDescent="0.3">
      <c r="A339" s="40">
        <v>45761</v>
      </c>
      <c r="B339" s="14" t="s">
        <v>86</v>
      </c>
      <c r="C339" s="15" t="s">
        <v>87</v>
      </c>
      <c r="D339" s="9" t="s">
        <v>9</v>
      </c>
      <c r="E339" s="12"/>
      <c r="F339" s="8">
        <v>60</v>
      </c>
      <c r="G339" s="11">
        <v>850</v>
      </c>
      <c r="H339" s="5">
        <f t="shared" si="6"/>
        <v>51000</v>
      </c>
      <c r="I339" s="43"/>
      <c r="J339"/>
    </row>
    <row r="340" spans="1:10" ht="12.15" hidden="1" customHeight="1" x14ac:dyDescent="0.3">
      <c r="A340" s="40">
        <v>45762</v>
      </c>
      <c r="B340" s="14" t="s">
        <v>88</v>
      </c>
      <c r="C340" s="15" t="s">
        <v>76</v>
      </c>
      <c r="D340" s="9" t="s">
        <v>74</v>
      </c>
      <c r="E340" s="12"/>
      <c r="F340" s="17">
        <v>38.299999999999997</v>
      </c>
      <c r="G340" s="11">
        <v>650</v>
      </c>
      <c r="H340" s="5">
        <f t="shared" si="6"/>
        <v>24894.999999999996</v>
      </c>
      <c r="I340" s="43"/>
      <c r="J340"/>
    </row>
    <row r="341" spans="1:10" ht="12.15" hidden="1" customHeight="1" x14ac:dyDescent="0.3">
      <c r="A341" s="40">
        <v>45762</v>
      </c>
      <c r="B341" s="14" t="s">
        <v>89</v>
      </c>
      <c r="C341" s="15" t="s">
        <v>30</v>
      </c>
      <c r="D341" s="9" t="s">
        <v>15</v>
      </c>
      <c r="E341" s="12"/>
      <c r="F341" s="8">
        <v>-20</v>
      </c>
      <c r="G341" s="11">
        <v>530</v>
      </c>
      <c r="H341" s="5">
        <f t="shared" si="6"/>
        <v>-10600</v>
      </c>
      <c r="I341" s="43"/>
      <c r="J341"/>
    </row>
    <row r="342" spans="1:10" ht="12.15" hidden="1" customHeight="1" x14ac:dyDescent="0.3">
      <c r="A342" s="40">
        <v>45762</v>
      </c>
      <c r="B342" s="14" t="s">
        <v>89</v>
      </c>
      <c r="C342" s="15" t="s">
        <v>30</v>
      </c>
      <c r="D342" s="34" t="s">
        <v>2</v>
      </c>
      <c r="E342" s="14"/>
      <c r="F342" s="11">
        <v>-1.4</v>
      </c>
      <c r="G342" s="34">
        <v>1000</v>
      </c>
      <c r="H342" s="5">
        <f t="shared" si="6"/>
        <v>-1400</v>
      </c>
      <c r="I342" s="43"/>
      <c r="J342"/>
    </row>
    <row r="343" spans="1:10" ht="12.15" customHeight="1" x14ac:dyDescent="0.3">
      <c r="A343" s="40">
        <v>45762</v>
      </c>
      <c r="B343" s="14" t="s">
        <v>89</v>
      </c>
      <c r="C343" s="15" t="s">
        <v>30</v>
      </c>
      <c r="D343" s="9" t="s">
        <v>0</v>
      </c>
      <c r="E343" s="12"/>
      <c r="F343" s="17">
        <v>-6</v>
      </c>
      <c r="G343" s="22">
        <v>1700</v>
      </c>
      <c r="H343" s="5">
        <f t="shared" si="6"/>
        <v>-10200</v>
      </c>
      <c r="I343" s="43"/>
      <c r="J343"/>
    </row>
    <row r="344" spans="1:10" ht="12.15" hidden="1" customHeight="1" x14ac:dyDescent="0.3">
      <c r="A344" s="40">
        <v>45762</v>
      </c>
      <c r="B344" s="14" t="s">
        <v>89</v>
      </c>
      <c r="C344" s="15" t="s">
        <v>30</v>
      </c>
      <c r="D344" s="9" t="s">
        <v>74</v>
      </c>
      <c r="E344" s="12"/>
      <c r="F344" s="8">
        <v>-38.299999999999997</v>
      </c>
      <c r="G344" s="11">
        <v>700</v>
      </c>
      <c r="H344" s="5">
        <f t="shared" si="6"/>
        <v>-26809.999999999996</v>
      </c>
      <c r="I344" s="43"/>
      <c r="J344"/>
    </row>
    <row r="345" spans="1:10" ht="12.15" customHeight="1" x14ac:dyDescent="0.3">
      <c r="A345" s="40">
        <v>45762</v>
      </c>
      <c r="B345" s="14" t="s">
        <v>90</v>
      </c>
      <c r="C345" s="15" t="s">
        <v>65</v>
      </c>
      <c r="D345" s="9" t="s">
        <v>0</v>
      </c>
      <c r="E345" s="12"/>
      <c r="F345" s="8">
        <v>10</v>
      </c>
      <c r="G345" s="22">
        <v>800</v>
      </c>
      <c r="H345" s="5">
        <f t="shared" si="6"/>
        <v>8000</v>
      </c>
      <c r="I345" s="43"/>
      <c r="J345"/>
    </row>
    <row r="346" spans="1:10" ht="12.15" customHeight="1" x14ac:dyDescent="0.3">
      <c r="A346" s="40">
        <v>45762</v>
      </c>
      <c r="B346" s="14" t="s">
        <v>90</v>
      </c>
      <c r="C346" s="15" t="s">
        <v>65</v>
      </c>
      <c r="D346" s="29" t="s">
        <v>0</v>
      </c>
      <c r="F346" s="2">
        <v>7</v>
      </c>
      <c r="G346" s="33">
        <v>1200</v>
      </c>
      <c r="H346" s="5">
        <f t="shared" si="6"/>
        <v>8400</v>
      </c>
      <c r="I346" s="43"/>
      <c r="J346"/>
    </row>
    <row r="347" spans="1:10" ht="12.15" customHeight="1" x14ac:dyDescent="0.3">
      <c r="A347" s="40">
        <v>45762</v>
      </c>
      <c r="B347" s="14" t="s">
        <v>90</v>
      </c>
      <c r="C347" s="15" t="s">
        <v>65</v>
      </c>
      <c r="D347" s="29" t="s">
        <v>0</v>
      </c>
      <c r="F347" s="2">
        <v>7</v>
      </c>
      <c r="G347" s="33">
        <v>1300</v>
      </c>
      <c r="H347" s="5">
        <f t="shared" si="6"/>
        <v>9100</v>
      </c>
      <c r="I347" s="43"/>
      <c r="J347"/>
    </row>
    <row r="348" spans="1:10" ht="12.15" customHeight="1" x14ac:dyDescent="0.3">
      <c r="A348" s="40">
        <v>45762</v>
      </c>
      <c r="B348" s="14" t="s">
        <v>90</v>
      </c>
      <c r="C348" s="15" t="s">
        <v>65</v>
      </c>
      <c r="D348" s="32" t="s">
        <v>0</v>
      </c>
      <c r="F348" s="2">
        <v>4</v>
      </c>
      <c r="G348" s="33">
        <v>1500</v>
      </c>
      <c r="H348" s="5">
        <f t="shared" si="6"/>
        <v>6000</v>
      </c>
      <c r="I348" s="43"/>
      <c r="J348"/>
    </row>
    <row r="349" spans="1:10" ht="12.15" customHeight="1" x14ac:dyDescent="0.3">
      <c r="A349" s="40">
        <v>45762</v>
      </c>
      <c r="B349" s="14" t="s">
        <v>90</v>
      </c>
      <c r="C349" s="15" t="s">
        <v>65</v>
      </c>
      <c r="D349" s="32" t="s">
        <v>0</v>
      </c>
      <c r="F349" s="2">
        <v>7.5</v>
      </c>
      <c r="G349" s="33">
        <v>700</v>
      </c>
      <c r="H349" s="5">
        <f t="shared" si="6"/>
        <v>5250</v>
      </c>
      <c r="I349" s="43"/>
      <c r="J349"/>
    </row>
    <row r="350" spans="1:10" ht="12.15" customHeight="1" x14ac:dyDescent="0.3">
      <c r="A350" s="40">
        <v>45762</v>
      </c>
      <c r="B350" s="14" t="s">
        <v>90</v>
      </c>
      <c r="C350" s="15" t="s">
        <v>65</v>
      </c>
      <c r="D350" s="34" t="s">
        <v>0</v>
      </c>
      <c r="E350" s="14"/>
      <c r="F350" s="11">
        <v>5</v>
      </c>
      <c r="G350" s="22">
        <v>1000</v>
      </c>
      <c r="H350" s="5">
        <f t="shared" si="6"/>
        <v>5000</v>
      </c>
      <c r="I350" s="43"/>
      <c r="J350"/>
    </row>
    <row r="351" spans="1:10" ht="12.15" hidden="1" customHeight="1" x14ac:dyDescent="0.3">
      <c r="A351" s="40">
        <v>45762</v>
      </c>
      <c r="B351" s="14" t="s">
        <v>90</v>
      </c>
      <c r="C351" s="15" t="s">
        <v>65</v>
      </c>
      <c r="D351" s="9" t="s">
        <v>4</v>
      </c>
      <c r="E351" s="12"/>
      <c r="F351" s="8">
        <v>3.5</v>
      </c>
      <c r="G351" s="11">
        <v>800</v>
      </c>
      <c r="H351" s="5">
        <f t="shared" si="6"/>
        <v>2800</v>
      </c>
      <c r="I351" s="43"/>
      <c r="J351"/>
    </row>
    <row r="352" spans="1:10" ht="12.15" hidden="1" customHeight="1" x14ac:dyDescent="0.3">
      <c r="A352" s="40">
        <v>45762</v>
      </c>
      <c r="B352" s="14" t="s">
        <v>90</v>
      </c>
      <c r="C352" s="15" t="s">
        <v>65</v>
      </c>
      <c r="D352" s="9" t="s">
        <v>4</v>
      </c>
      <c r="E352" s="12"/>
      <c r="F352" s="8">
        <v>2</v>
      </c>
      <c r="G352" s="11">
        <v>1400</v>
      </c>
      <c r="H352" s="5">
        <f t="shared" si="6"/>
        <v>2800</v>
      </c>
      <c r="I352" s="43"/>
      <c r="J352"/>
    </row>
    <row r="353" spans="1:15" ht="12.15" hidden="1" customHeight="1" x14ac:dyDescent="0.3">
      <c r="A353" s="40">
        <v>45762</v>
      </c>
      <c r="B353" s="14" t="s">
        <v>90</v>
      </c>
      <c r="C353" s="15" t="s">
        <v>65</v>
      </c>
      <c r="D353" s="9" t="s">
        <v>5</v>
      </c>
      <c r="E353" s="12"/>
      <c r="F353" s="8">
        <v>14</v>
      </c>
      <c r="G353" s="8">
        <v>700</v>
      </c>
      <c r="H353" s="5">
        <f t="shared" si="6"/>
        <v>9800</v>
      </c>
      <c r="I353" s="43"/>
      <c r="J353"/>
    </row>
    <row r="354" spans="1:15" ht="12.15" hidden="1" customHeight="1" x14ac:dyDescent="0.3">
      <c r="A354" s="40">
        <v>45762</v>
      </c>
      <c r="B354" s="14" t="s">
        <v>90</v>
      </c>
      <c r="C354" s="15" t="s">
        <v>65</v>
      </c>
      <c r="D354" s="9" t="s">
        <v>5</v>
      </c>
      <c r="E354" s="12"/>
      <c r="F354" s="8">
        <v>11</v>
      </c>
      <c r="G354" s="11">
        <v>900</v>
      </c>
      <c r="H354" s="5">
        <f t="shared" si="6"/>
        <v>9900</v>
      </c>
      <c r="I354" s="43"/>
      <c r="J354"/>
    </row>
    <row r="355" spans="1:15" ht="12.15" hidden="1" customHeight="1" x14ac:dyDescent="0.3">
      <c r="A355" s="40">
        <v>45762</v>
      </c>
      <c r="B355" s="14" t="s">
        <v>90</v>
      </c>
      <c r="C355" s="15" t="s">
        <v>65</v>
      </c>
      <c r="D355" s="9" t="s">
        <v>9</v>
      </c>
      <c r="E355" s="12"/>
      <c r="F355" s="8">
        <v>5.5</v>
      </c>
      <c r="G355" s="11">
        <v>800</v>
      </c>
      <c r="H355" s="5">
        <f t="shared" si="6"/>
        <v>4400</v>
      </c>
      <c r="I355" s="43"/>
      <c r="J355"/>
    </row>
    <row r="356" spans="1:15" ht="12.15" hidden="1" customHeight="1" x14ac:dyDescent="0.3">
      <c r="A356" s="27">
        <v>45763</v>
      </c>
      <c r="B356" s="3" t="s">
        <v>91</v>
      </c>
      <c r="C356" s="4" t="s">
        <v>30</v>
      </c>
      <c r="D356" s="9" t="s">
        <v>2</v>
      </c>
      <c r="E356" s="30"/>
      <c r="F356" s="8">
        <v>-5.4</v>
      </c>
      <c r="G356" s="11">
        <v>1200</v>
      </c>
      <c r="H356" s="5">
        <f t="shared" si="6"/>
        <v>-6480</v>
      </c>
      <c r="I356" s="43"/>
      <c r="J356"/>
    </row>
    <row r="357" spans="1:15" ht="12.15" hidden="1" customHeight="1" x14ac:dyDescent="0.3">
      <c r="A357" s="27">
        <v>45763</v>
      </c>
      <c r="B357" s="3" t="s">
        <v>91</v>
      </c>
      <c r="C357" s="4" t="s">
        <v>30</v>
      </c>
      <c r="D357" s="34" t="s">
        <v>15</v>
      </c>
      <c r="E357" s="14"/>
      <c r="F357" s="11">
        <v>-40</v>
      </c>
      <c r="G357" s="11">
        <v>530</v>
      </c>
      <c r="H357" s="5">
        <f t="shared" si="6"/>
        <v>-21200</v>
      </c>
      <c r="I357" s="43"/>
      <c r="J357"/>
    </row>
    <row r="358" spans="1:15" ht="12.15" hidden="1" customHeight="1" x14ac:dyDescent="0.25">
      <c r="A358" s="27">
        <v>45763</v>
      </c>
      <c r="B358" s="3" t="s">
        <v>91</v>
      </c>
      <c r="C358" s="4" t="s">
        <v>30</v>
      </c>
      <c r="D358" s="9" t="s">
        <v>7</v>
      </c>
      <c r="E358" s="30"/>
      <c r="F358" s="8">
        <v>-28.8</v>
      </c>
      <c r="G358" s="11">
        <v>450</v>
      </c>
      <c r="H358" s="5">
        <f t="shared" si="6"/>
        <v>-12960</v>
      </c>
      <c r="J358" s="2"/>
      <c r="L358" s="2"/>
      <c r="O358" s="2"/>
    </row>
    <row r="359" spans="1:15" ht="12.15" hidden="1" customHeight="1" x14ac:dyDescent="0.25">
      <c r="A359" s="27">
        <v>45763</v>
      </c>
      <c r="B359" s="3" t="s">
        <v>91</v>
      </c>
      <c r="C359" s="4" t="s">
        <v>30</v>
      </c>
      <c r="D359" s="32" t="s">
        <v>15</v>
      </c>
      <c r="F359" s="7">
        <v>-10</v>
      </c>
      <c r="G359" s="13">
        <v>430</v>
      </c>
      <c r="H359" s="5">
        <f t="shared" si="6"/>
        <v>-4300</v>
      </c>
      <c r="J359" s="2"/>
      <c r="L359" s="2"/>
      <c r="O359" s="2"/>
    </row>
    <row r="360" spans="1:15" ht="12.15" customHeight="1" x14ac:dyDescent="0.25">
      <c r="A360" s="27">
        <v>45763</v>
      </c>
      <c r="B360" s="3" t="s">
        <v>92</v>
      </c>
      <c r="C360" s="4" t="s">
        <v>65</v>
      </c>
      <c r="D360" s="9" t="s">
        <v>0</v>
      </c>
      <c r="E360" s="30"/>
      <c r="F360" s="8">
        <v>9</v>
      </c>
      <c r="G360" s="22">
        <v>1200</v>
      </c>
      <c r="H360" s="5">
        <f t="shared" si="6"/>
        <v>10800</v>
      </c>
      <c r="J360" s="2"/>
      <c r="L360" s="2"/>
      <c r="O360" s="2"/>
    </row>
    <row r="361" spans="1:15" ht="12.15" customHeight="1" x14ac:dyDescent="0.25">
      <c r="A361" s="27">
        <v>45763</v>
      </c>
      <c r="B361" s="3" t="s">
        <v>92</v>
      </c>
      <c r="C361" s="4" t="s">
        <v>65</v>
      </c>
      <c r="D361" s="34" t="s">
        <v>0</v>
      </c>
      <c r="E361" s="14"/>
      <c r="F361" s="11">
        <v>8.5</v>
      </c>
      <c r="G361" s="22">
        <v>1500</v>
      </c>
      <c r="H361" s="5">
        <f t="shared" si="6"/>
        <v>12750</v>
      </c>
      <c r="J361" s="2"/>
      <c r="L361" s="2"/>
      <c r="O361" s="2"/>
    </row>
    <row r="362" spans="1:15" ht="12.15" customHeight="1" x14ac:dyDescent="0.25">
      <c r="A362" s="27">
        <v>45763</v>
      </c>
      <c r="B362" s="3" t="s">
        <v>92</v>
      </c>
      <c r="C362" s="4" t="s">
        <v>65</v>
      </c>
      <c r="D362" s="9" t="s">
        <v>0</v>
      </c>
      <c r="E362" s="30"/>
      <c r="F362" s="8">
        <v>3</v>
      </c>
      <c r="G362" s="22">
        <v>2000</v>
      </c>
      <c r="H362" s="5">
        <f t="shared" si="6"/>
        <v>6000</v>
      </c>
      <c r="J362" s="2"/>
      <c r="L362" s="2"/>
      <c r="O362" s="2"/>
    </row>
    <row r="363" spans="1:15" ht="12.15" customHeight="1" x14ac:dyDescent="0.25">
      <c r="A363" s="27">
        <v>45763</v>
      </c>
      <c r="B363" s="3" t="s">
        <v>92</v>
      </c>
      <c r="C363" s="4" t="s">
        <v>65</v>
      </c>
      <c r="D363" s="32" t="s">
        <v>0</v>
      </c>
      <c r="F363" s="7">
        <v>11</v>
      </c>
      <c r="G363" s="33">
        <v>700</v>
      </c>
      <c r="H363" s="5">
        <f t="shared" si="6"/>
        <v>7700</v>
      </c>
      <c r="J363" s="2"/>
      <c r="L363" s="2"/>
      <c r="O363" s="2"/>
    </row>
    <row r="364" spans="1:15" ht="12.15" hidden="1" customHeight="1" x14ac:dyDescent="0.25">
      <c r="A364" s="27">
        <v>45763</v>
      </c>
      <c r="B364" s="3" t="s">
        <v>92</v>
      </c>
      <c r="C364" s="4" t="s">
        <v>65</v>
      </c>
      <c r="D364" s="9" t="s">
        <v>9</v>
      </c>
      <c r="E364" s="12"/>
      <c r="F364" s="8">
        <v>16</v>
      </c>
      <c r="G364" s="11">
        <v>850</v>
      </c>
      <c r="H364" s="5">
        <f t="shared" si="6"/>
        <v>13600</v>
      </c>
      <c r="J364" s="2"/>
      <c r="L364" s="2"/>
      <c r="O364" s="2"/>
    </row>
    <row r="365" spans="1:15" ht="12.15" hidden="1" customHeight="1" x14ac:dyDescent="0.25">
      <c r="A365" s="27">
        <v>45763</v>
      </c>
      <c r="B365" s="3" t="s">
        <v>92</v>
      </c>
      <c r="C365" s="4" t="s">
        <v>65</v>
      </c>
      <c r="D365" s="42" t="s">
        <v>47</v>
      </c>
      <c r="E365" s="14"/>
      <c r="F365" s="8">
        <v>4</v>
      </c>
      <c r="G365" s="11">
        <v>1250</v>
      </c>
      <c r="H365" s="5">
        <f t="shared" si="6"/>
        <v>5000</v>
      </c>
      <c r="J365" s="2"/>
      <c r="L365" s="2"/>
      <c r="O365" s="2"/>
    </row>
    <row r="366" spans="1:15" ht="12.15" hidden="1" customHeight="1" x14ac:dyDescent="0.25">
      <c r="A366" s="27">
        <v>45763</v>
      </c>
      <c r="B366" s="3" t="s">
        <v>92</v>
      </c>
      <c r="C366" s="4" t="s">
        <v>65</v>
      </c>
      <c r="D366" s="9" t="s">
        <v>47</v>
      </c>
      <c r="E366" s="12"/>
      <c r="F366" s="8">
        <v>6.5</v>
      </c>
      <c r="G366" s="11">
        <v>750</v>
      </c>
      <c r="H366" s="5">
        <f t="shared" si="6"/>
        <v>4875</v>
      </c>
      <c r="J366" s="2"/>
      <c r="L366" s="2"/>
      <c r="O366" s="2"/>
    </row>
    <row r="367" spans="1:15" ht="12.15" hidden="1" customHeight="1" x14ac:dyDescent="0.25">
      <c r="A367" s="27">
        <v>45763</v>
      </c>
      <c r="B367" s="3" t="s">
        <v>92</v>
      </c>
      <c r="C367" s="4" t="s">
        <v>65</v>
      </c>
      <c r="D367" s="42" t="s">
        <v>26</v>
      </c>
      <c r="E367" s="42"/>
      <c r="F367" s="13">
        <v>7.5</v>
      </c>
      <c r="G367" s="42">
        <v>850</v>
      </c>
      <c r="H367" s="5">
        <f t="shared" si="6"/>
        <v>6375</v>
      </c>
      <c r="J367" s="2"/>
      <c r="L367" s="2"/>
      <c r="O367" s="2"/>
    </row>
    <row r="368" spans="1:15" ht="12.15" hidden="1" customHeight="1" x14ac:dyDescent="0.25">
      <c r="A368" s="27">
        <v>45763</v>
      </c>
      <c r="B368" s="3" t="s">
        <v>92</v>
      </c>
      <c r="C368" s="4" t="s">
        <v>65</v>
      </c>
      <c r="D368" s="29" t="s">
        <v>8</v>
      </c>
      <c r="F368" s="2">
        <v>1.4</v>
      </c>
      <c r="G368" s="13">
        <v>600</v>
      </c>
      <c r="H368" s="5">
        <f t="shared" si="6"/>
        <v>840</v>
      </c>
      <c r="J368" s="2"/>
      <c r="L368" s="2"/>
      <c r="O368" s="2"/>
    </row>
    <row r="369" spans="1:15" ht="12.15" customHeight="1" x14ac:dyDescent="0.25">
      <c r="A369" s="27">
        <v>45764</v>
      </c>
      <c r="B369" s="3" t="s">
        <v>93</v>
      </c>
      <c r="C369" s="4" t="s">
        <v>30</v>
      </c>
      <c r="D369" s="29" t="s">
        <v>0</v>
      </c>
      <c r="F369" s="2">
        <v>-3.5</v>
      </c>
      <c r="G369" s="33">
        <v>1500</v>
      </c>
      <c r="H369" s="5">
        <f t="shared" si="6"/>
        <v>-5250</v>
      </c>
      <c r="J369" s="2"/>
      <c r="L369" s="2"/>
      <c r="O369" s="2"/>
    </row>
    <row r="370" spans="1:15" ht="12.15" hidden="1" customHeight="1" x14ac:dyDescent="0.25">
      <c r="A370" s="27">
        <v>45764</v>
      </c>
      <c r="B370" s="3" t="s">
        <v>93</v>
      </c>
      <c r="C370" s="4" t="s">
        <v>30</v>
      </c>
      <c r="D370" s="9" t="s">
        <v>15</v>
      </c>
      <c r="E370" s="2"/>
      <c r="F370" s="2">
        <v>-10</v>
      </c>
      <c r="G370" s="13">
        <v>430</v>
      </c>
      <c r="H370" s="5">
        <f t="shared" si="6"/>
        <v>-4300</v>
      </c>
      <c r="J370" s="2"/>
      <c r="L370" s="2"/>
      <c r="O370" s="2"/>
    </row>
    <row r="371" spans="1:15" ht="12.15" hidden="1" customHeight="1" x14ac:dyDescent="0.25">
      <c r="A371" s="27">
        <v>45765</v>
      </c>
      <c r="B371" s="3" t="s">
        <v>94</v>
      </c>
      <c r="C371" s="4" t="s">
        <v>30</v>
      </c>
      <c r="D371" s="29" t="s">
        <v>15</v>
      </c>
      <c r="E371" s="30"/>
      <c r="F371" s="31">
        <v>-30</v>
      </c>
      <c r="G371" s="31">
        <v>500</v>
      </c>
      <c r="H371" s="5">
        <f t="shared" si="6"/>
        <v>-15000</v>
      </c>
      <c r="J371" s="2"/>
      <c r="L371" s="2"/>
      <c r="O371" s="2"/>
    </row>
    <row r="372" spans="1:15" ht="12.15" hidden="1" customHeight="1" x14ac:dyDescent="0.25">
      <c r="A372" s="27">
        <v>45765</v>
      </c>
      <c r="B372" s="3" t="s">
        <v>94</v>
      </c>
      <c r="C372" s="4" t="s">
        <v>30</v>
      </c>
      <c r="D372" s="29" t="s">
        <v>47</v>
      </c>
      <c r="F372" s="2">
        <v>-3</v>
      </c>
      <c r="G372" s="13">
        <v>1000</v>
      </c>
      <c r="H372" s="5">
        <f t="shared" si="6"/>
        <v>-3000</v>
      </c>
      <c r="J372" s="2"/>
      <c r="L372" s="2"/>
      <c r="O372" s="2"/>
    </row>
    <row r="373" spans="1:15" ht="12.15" hidden="1" customHeight="1" x14ac:dyDescent="0.25">
      <c r="A373" s="27">
        <v>45765</v>
      </c>
      <c r="B373" s="3" t="s">
        <v>94</v>
      </c>
      <c r="C373" s="4" t="s">
        <v>30</v>
      </c>
      <c r="D373" s="29" t="s">
        <v>2</v>
      </c>
      <c r="F373" s="2">
        <v>-3</v>
      </c>
      <c r="G373" s="13">
        <v>1000</v>
      </c>
      <c r="H373" s="5">
        <f t="shared" si="6"/>
        <v>-3000</v>
      </c>
      <c r="J373" s="2"/>
      <c r="L373" s="2"/>
      <c r="O373" s="2"/>
    </row>
    <row r="374" spans="1:15" ht="12.15" hidden="1" customHeight="1" x14ac:dyDescent="0.25">
      <c r="A374" s="27">
        <v>45765</v>
      </c>
      <c r="B374" s="3" t="s">
        <v>94</v>
      </c>
      <c r="C374" s="4" t="s">
        <v>30</v>
      </c>
      <c r="D374" s="32" t="s">
        <v>5</v>
      </c>
      <c r="F374" s="2">
        <v>-4.2</v>
      </c>
      <c r="G374" s="13">
        <v>1400</v>
      </c>
      <c r="H374" s="5">
        <f t="shared" si="6"/>
        <v>-5880</v>
      </c>
      <c r="J374" s="2"/>
      <c r="L374" s="2"/>
      <c r="O374" s="2"/>
    </row>
    <row r="375" spans="1:15" ht="12.15" hidden="1" customHeight="1" x14ac:dyDescent="0.25">
      <c r="A375" s="27">
        <v>45766</v>
      </c>
      <c r="B375" s="3" t="s">
        <v>95</v>
      </c>
      <c r="C375" s="4" t="s">
        <v>30</v>
      </c>
      <c r="D375" s="32" t="s">
        <v>15</v>
      </c>
      <c r="F375" s="2">
        <v>-10</v>
      </c>
      <c r="G375" s="13">
        <v>550</v>
      </c>
      <c r="H375" s="5">
        <f t="shared" si="6"/>
        <v>-5500</v>
      </c>
      <c r="J375" s="2"/>
      <c r="L375" s="2"/>
      <c r="O375" s="2"/>
    </row>
    <row r="376" spans="1:15" ht="12.15" customHeight="1" x14ac:dyDescent="0.25">
      <c r="A376" s="27">
        <v>45766</v>
      </c>
      <c r="B376" s="3" t="s">
        <v>95</v>
      </c>
      <c r="C376" s="4" t="s">
        <v>30</v>
      </c>
      <c r="D376" s="32" t="s">
        <v>0</v>
      </c>
      <c r="F376" s="2">
        <v>-3.1</v>
      </c>
      <c r="G376" s="33">
        <v>1700</v>
      </c>
      <c r="H376" s="5">
        <f t="shared" si="6"/>
        <v>-5270</v>
      </c>
      <c r="J376" s="2"/>
      <c r="L376" s="2"/>
      <c r="O376" s="2"/>
    </row>
    <row r="377" spans="1:15" ht="12.15" hidden="1" customHeight="1" x14ac:dyDescent="0.25">
      <c r="A377" s="40">
        <v>45768</v>
      </c>
      <c r="B377" s="14" t="s">
        <v>96</v>
      </c>
      <c r="C377" s="15" t="s">
        <v>30</v>
      </c>
      <c r="D377" s="9" t="s">
        <v>15</v>
      </c>
      <c r="E377" s="12"/>
      <c r="F377" s="8">
        <v>-140</v>
      </c>
      <c r="G377" s="11">
        <v>500</v>
      </c>
      <c r="H377" s="5">
        <f t="shared" si="6"/>
        <v>-70000</v>
      </c>
      <c r="J377" s="2"/>
      <c r="L377" s="2"/>
      <c r="O377" s="2"/>
    </row>
    <row r="378" spans="1:15" ht="12.15" hidden="1" customHeight="1" x14ac:dyDescent="0.25">
      <c r="A378" s="27">
        <v>45768</v>
      </c>
      <c r="B378" s="3" t="s">
        <v>97</v>
      </c>
      <c r="C378" s="4" t="s">
        <v>76</v>
      </c>
      <c r="D378" s="29" t="s">
        <v>15</v>
      </c>
      <c r="E378" s="30"/>
      <c r="F378" s="31">
        <v>140</v>
      </c>
      <c r="G378" s="31">
        <v>350</v>
      </c>
      <c r="H378" s="5">
        <f t="shared" si="6"/>
        <v>49000</v>
      </c>
      <c r="J378" s="2"/>
      <c r="L378" s="2"/>
      <c r="O378" s="2"/>
    </row>
    <row r="379" spans="1:15" ht="12.15" hidden="1" customHeight="1" x14ac:dyDescent="0.25">
      <c r="A379" s="27">
        <v>45769</v>
      </c>
      <c r="B379" s="3" t="s">
        <v>98</v>
      </c>
      <c r="C379" s="4" t="s">
        <v>30</v>
      </c>
      <c r="D379" s="32" t="s">
        <v>15</v>
      </c>
      <c r="F379" s="2">
        <v>-20</v>
      </c>
      <c r="G379" s="13">
        <v>550</v>
      </c>
      <c r="H379" s="5">
        <f t="shared" si="6"/>
        <v>-11000</v>
      </c>
      <c r="J379" s="2"/>
      <c r="L379" s="2"/>
      <c r="O379" s="2"/>
    </row>
    <row r="380" spans="1:15" ht="12.15" hidden="1" customHeight="1" x14ac:dyDescent="0.25">
      <c r="A380" s="27">
        <v>45770</v>
      </c>
      <c r="B380" s="3" t="s">
        <v>99</v>
      </c>
      <c r="C380" s="4" t="s">
        <v>30</v>
      </c>
      <c r="D380" s="9" t="s">
        <v>15</v>
      </c>
      <c r="F380" s="2">
        <v>-30</v>
      </c>
      <c r="G380" s="13">
        <v>580</v>
      </c>
      <c r="H380" s="5">
        <f t="shared" si="6"/>
        <v>-17400</v>
      </c>
      <c r="J380" s="2"/>
      <c r="L380" s="2"/>
      <c r="O380" s="2"/>
    </row>
    <row r="381" spans="1:15" ht="12.15" customHeight="1" x14ac:dyDescent="0.25">
      <c r="A381" s="27">
        <v>45770</v>
      </c>
      <c r="B381" s="3" t="s">
        <v>99</v>
      </c>
      <c r="C381" s="4" t="s">
        <v>30</v>
      </c>
      <c r="D381" s="32" t="s">
        <v>0</v>
      </c>
      <c r="F381" s="2">
        <v>-2</v>
      </c>
      <c r="G381" s="33">
        <v>2700</v>
      </c>
      <c r="H381" s="5">
        <f t="shared" si="6"/>
        <v>-5400</v>
      </c>
      <c r="J381" s="2"/>
      <c r="L381" s="2"/>
      <c r="O381" s="2"/>
    </row>
    <row r="382" spans="1:15" ht="12.15" hidden="1" customHeight="1" x14ac:dyDescent="0.25">
      <c r="A382" s="27">
        <v>45770</v>
      </c>
      <c r="B382" s="3" t="s">
        <v>99</v>
      </c>
      <c r="C382" s="4" t="s">
        <v>30</v>
      </c>
      <c r="D382" s="42" t="s">
        <v>47</v>
      </c>
      <c r="E382" s="42"/>
      <c r="F382" s="13">
        <v>-5.9</v>
      </c>
      <c r="G382" s="42">
        <v>1400</v>
      </c>
      <c r="H382" s="5">
        <f t="shared" si="6"/>
        <v>-8260</v>
      </c>
      <c r="J382" s="2"/>
      <c r="L382" s="2"/>
      <c r="O382" s="2"/>
    </row>
    <row r="383" spans="1:15" ht="12.15" hidden="1" customHeight="1" x14ac:dyDescent="0.25">
      <c r="A383" s="27">
        <v>45770</v>
      </c>
      <c r="B383" s="3" t="s">
        <v>99</v>
      </c>
      <c r="C383" s="4" t="s">
        <v>30</v>
      </c>
      <c r="D383" s="32" t="s">
        <v>20</v>
      </c>
      <c r="F383" s="2">
        <v>-1.5</v>
      </c>
      <c r="G383" s="13">
        <v>1400</v>
      </c>
      <c r="H383" s="5">
        <f t="shared" si="6"/>
        <v>-2100</v>
      </c>
      <c r="J383" s="2"/>
      <c r="L383" s="2"/>
      <c r="O383" s="2"/>
    </row>
    <row r="384" spans="1:15" ht="12.15" hidden="1" customHeight="1" x14ac:dyDescent="0.25">
      <c r="A384" s="27">
        <v>45770</v>
      </c>
      <c r="B384" s="3" t="s">
        <v>99</v>
      </c>
      <c r="C384" s="4" t="s">
        <v>30</v>
      </c>
      <c r="D384" s="34" t="s">
        <v>2</v>
      </c>
      <c r="E384" s="12"/>
      <c r="F384" s="11">
        <f>-1.7-4.5</f>
        <v>-6.2</v>
      </c>
      <c r="G384" s="11">
        <v>1000</v>
      </c>
      <c r="H384" s="5">
        <f t="shared" si="6"/>
        <v>-6200</v>
      </c>
      <c r="J384" s="2"/>
      <c r="L384" s="2"/>
      <c r="O384" s="2"/>
    </row>
    <row r="385" spans="1:15" ht="12.15" hidden="1" customHeight="1" x14ac:dyDescent="0.25">
      <c r="A385" s="27">
        <v>45771</v>
      </c>
      <c r="B385" s="3" t="s">
        <v>100</v>
      </c>
      <c r="C385" s="4" t="s">
        <v>30</v>
      </c>
      <c r="D385" s="34" t="s">
        <v>15</v>
      </c>
      <c r="E385" s="12"/>
      <c r="F385" s="11">
        <v>-30</v>
      </c>
      <c r="G385" s="11">
        <v>580</v>
      </c>
      <c r="H385" s="5">
        <f t="shared" si="6"/>
        <v>-17400</v>
      </c>
      <c r="J385" s="2"/>
      <c r="L385" s="2"/>
      <c r="O385" s="2"/>
    </row>
    <row r="386" spans="1:15" ht="12.15" hidden="1" customHeight="1" x14ac:dyDescent="0.25">
      <c r="A386" s="27">
        <v>45771</v>
      </c>
      <c r="B386" s="3" t="s">
        <v>100</v>
      </c>
      <c r="C386" s="4" t="s">
        <v>30</v>
      </c>
      <c r="D386" s="32" t="s">
        <v>10</v>
      </c>
      <c r="F386" s="2">
        <v>-50</v>
      </c>
      <c r="G386" s="13">
        <v>700</v>
      </c>
      <c r="H386" s="5">
        <f t="shared" si="6"/>
        <v>-35000</v>
      </c>
      <c r="J386" s="2"/>
      <c r="L386" s="2"/>
      <c r="O386" s="2"/>
    </row>
    <row r="387" spans="1:15" ht="12.15" customHeight="1" x14ac:dyDescent="0.25">
      <c r="A387" s="27">
        <v>45771</v>
      </c>
      <c r="B387" s="3" t="s">
        <v>100</v>
      </c>
      <c r="C387" s="4" t="s">
        <v>30</v>
      </c>
      <c r="D387" s="9" t="s">
        <v>0</v>
      </c>
      <c r="F387" s="2">
        <v>-2</v>
      </c>
      <c r="G387" s="33">
        <v>1200</v>
      </c>
      <c r="H387" s="5">
        <f t="shared" si="6"/>
        <v>-2400</v>
      </c>
      <c r="J387" s="2"/>
      <c r="L387" s="2"/>
      <c r="O387" s="2"/>
    </row>
    <row r="388" spans="1:15" ht="12.6" hidden="1" customHeight="1" x14ac:dyDescent="0.25">
      <c r="A388" s="27">
        <v>45772</v>
      </c>
      <c r="B388" s="3" t="s">
        <v>101</v>
      </c>
      <c r="C388" s="4" t="s">
        <v>30</v>
      </c>
      <c r="D388" s="9" t="s">
        <v>15</v>
      </c>
      <c r="E388" s="30"/>
      <c r="F388" s="8">
        <v>-10</v>
      </c>
      <c r="G388" s="11">
        <v>580</v>
      </c>
      <c r="H388" s="5">
        <f t="shared" si="6"/>
        <v>-5800</v>
      </c>
      <c r="J388" s="2"/>
      <c r="L388" s="2"/>
      <c r="O388" s="2"/>
    </row>
    <row r="389" spans="1:15" ht="12.6" customHeight="1" x14ac:dyDescent="0.25">
      <c r="A389" s="27">
        <v>45772</v>
      </c>
      <c r="B389" s="3" t="s">
        <v>101</v>
      </c>
      <c r="C389" s="4" t="s">
        <v>30</v>
      </c>
      <c r="D389" s="9" t="s">
        <v>0</v>
      </c>
      <c r="F389" s="2">
        <v>-2</v>
      </c>
      <c r="G389" s="22">
        <v>1400</v>
      </c>
      <c r="H389" s="5">
        <f t="shared" si="6"/>
        <v>-2800</v>
      </c>
      <c r="J389" s="2"/>
      <c r="L389" s="2"/>
      <c r="O389" s="2"/>
    </row>
    <row r="390" spans="1:15" ht="12.6" hidden="1" customHeight="1" x14ac:dyDescent="0.25">
      <c r="A390" s="27">
        <v>45772</v>
      </c>
      <c r="B390" s="3" t="s">
        <v>101</v>
      </c>
      <c r="C390" s="4" t="s">
        <v>30</v>
      </c>
      <c r="D390" s="32" t="s">
        <v>47</v>
      </c>
      <c r="F390" s="2">
        <v>-3.5</v>
      </c>
      <c r="G390" s="13">
        <v>1000</v>
      </c>
      <c r="H390" s="5">
        <f t="shared" si="6"/>
        <v>-3500</v>
      </c>
      <c r="J390" s="2"/>
      <c r="L390" s="2"/>
      <c r="O390" s="2"/>
    </row>
    <row r="391" spans="1:15" ht="12.6" hidden="1" customHeight="1" x14ac:dyDescent="0.25">
      <c r="A391" s="27">
        <v>45772</v>
      </c>
      <c r="B391" s="3" t="s">
        <v>101</v>
      </c>
      <c r="C391" s="4" t="s">
        <v>30</v>
      </c>
      <c r="D391" s="32" t="s">
        <v>2</v>
      </c>
      <c r="F391" s="11">
        <v>-2</v>
      </c>
      <c r="G391" s="11">
        <v>1000</v>
      </c>
      <c r="H391" s="5">
        <f t="shared" si="6"/>
        <v>-2000</v>
      </c>
      <c r="J391" s="2"/>
      <c r="L391" s="2"/>
      <c r="O391" s="2"/>
    </row>
    <row r="392" spans="1:15" ht="12.6" hidden="1" customHeight="1" x14ac:dyDescent="0.25">
      <c r="A392" s="27">
        <v>45773</v>
      </c>
      <c r="B392" s="3" t="s">
        <v>102</v>
      </c>
      <c r="C392" s="4" t="s">
        <v>76</v>
      </c>
      <c r="D392" s="32" t="s">
        <v>74</v>
      </c>
      <c r="F392" s="7">
        <v>37.299999999999997</v>
      </c>
      <c r="G392" s="13">
        <v>750</v>
      </c>
      <c r="H392" s="5">
        <f t="shared" ref="H392:H442" si="7">(E392*G392)+(F392*G392)</f>
        <v>27974.999999999996</v>
      </c>
      <c r="J392" s="2"/>
      <c r="L392" s="2"/>
      <c r="O392" s="2"/>
    </row>
    <row r="393" spans="1:15" ht="12.6" hidden="1" customHeight="1" x14ac:dyDescent="0.25">
      <c r="A393" s="27">
        <v>45773</v>
      </c>
      <c r="B393" s="3" t="s">
        <v>103</v>
      </c>
      <c r="C393" s="4" t="s">
        <v>30</v>
      </c>
      <c r="D393" s="32" t="s">
        <v>15</v>
      </c>
      <c r="F393" s="2">
        <v>-20</v>
      </c>
      <c r="G393" s="13">
        <v>550</v>
      </c>
      <c r="H393" s="5">
        <f t="shared" si="7"/>
        <v>-11000</v>
      </c>
      <c r="J393" s="2"/>
      <c r="L393" s="2"/>
      <c r="O393" s="2"/>
    </row>
    <row r="394" spans="1:15" ht="12.6" hidden="1" customHeight="1" x14ac:dyDescent="0.25">
      <c r="A394" s="27">
        <v>45773</v>
      </c>
      <c r="B394" s="3" t="s">
        <v>103</v>
      </c>
      <c r="C394" s="4" t="s">
        <v>30</v>
      </c>
      <c r="D394" s="32" t="s">
        <v>15</v>
      </c>
      <c r="F394" s="2">
        <v>-10</v>
      </c>
      <c r="G394" s="13">
        <v>450</v>
      </c>
      <c r="H394" s="5">
        <f t="shared" si="7"/>
        <v>-4500</v>
      </c>
      <c r="J394" s="2"/>
      <c r="L394" s="2"/>
      <c r="O394" s="2"/>
    </row>
    <row r="395" spans="1:15" ht="12.6" customHeight="1" x14ac:dyDescent="0.25">
      <c r="A395" s="27">
        <v>45773</v>
      </c>
      <c r="B395" s="3" t="s">
        <v>103</v>
      </c>
      <c r="C395" s="4" t="s">
        <v>30</v>
      </c>
      <c r="D395" s="34" t="s">
        <v>0</v>
      </c>
      <c r="E395" s="14"/>
      <c r="F395" s="11">
        <v>-1.5</v>
      </c>
      <c r="G395" s="22">
        <v>1400</v>
      </c>
      <c r="H395" s="5">
        <f t="shared" si="7"/>
        <v>-2100</v>
      </c>
      <c r="J395" s="2"/>
      <c r="L395" s="2"/>
      <c r="O395" s="2"/>
    </row>
    <row r="396" spans="1:15" ht="12.6" hidden="1" customHeight="1" x14ac:dyDescent="0.25">
      <c r="A396" s="27">
        <v>45773</v>
      </c>
      <c r="B396" s="3" t="s">
        <v>103</v>
      </c>
      <c r="C396" s="4" t="s">
        <v>30</v>
      </c>
      <c r="D396" s="32" t="s">
        <v>74</v>
      </c>
      <c r="F396" s="2">
        <v>-37.299999999999997</v>
      </c>
      <c r="G396" s="13">
        <v>850</v>
      </c>
      <c r="H396" s="5">
        <f t="shared" si="7"/>
        <v>-31704.999999999996</v>
      </c>
      <c r="J396" s="2"/>
      <c r="L396" s="2"/>
      <c r="O396" s="2"/>
    </row>
    <row r="397" spans="1:15" ht="12.6" hidden="1" customHeight="1" x14ac:dyDescent="0.25">
      <c r="A397" s="27">
        <v>45776</v>
      </c>
      <c r="B397" s="3" t="s">
        <v>104</v>
      </c>
      <c r="C397" s="4" t="s">
        <v>30</v>
      </c>
      <c r="D397" s="32" t="s">
        <v>8</v>
      </c>
      <c r="F397" s="2">
        <v>-4.8</v>
      </c>
      <c r="G397" s="13">
        <v>1500</v>
      </c>
      <c r="H397" s="5">
        <f t="shared" si="7"/>
        <v>-7200</v>
      </c>
      <c r="J397" s="2"/>
      <c r="L397" s="2"/>
      <c r="O397" s="2"/>
    </row>
    <row r="398" spans="1:15" ht="12.6" hidden="1" customHeight="1" x14ac:dyDescent="0.25">
      <c r="A398" s="27">
        <v>45776</v>
      </c>
      <c r="B398" s="3" t="s">
        <v>104</v>
      </c>
      <c r="C398" s="4" t="s">
        <v>30</v>
      </c>
      <c r="D398" s="32" t="s">
        <v>47</v>
      </c>
      <c r="F398" s="2">
        <v>-4.0999999999999996</v>
      </c>
      <c r="G398" s="13">
        <v>1400</v>
      </c>
      <c r="H398" s="5">
        <f t="shared" si="7"/>
        <v>-5739.9999999999991</v>
      </c>
      <c r="J398" s="2"/>
      <c r="L398" s="2"/>
      <c r="O398" s="2"/>
    </row>
    <row r="399" spans="1:15" ht="12.6" hidden="1" customHeight="1" x14ac:dyDescent="0.25">
      <c r="A399" s="27">
        <v>45776</v>
      </c>
      <c r="B399" s="3" t="s">
        <v>104</v>
      </c>
      <c r="C399" s="4" t="s">
        <v>30</v>
      </c>
      <c r="D399" s="32" t="s">
        <v>15</v>
      </c>
      <c r="F399" s="2">
        <v>-20</v>
      </c>
      <c r="G399" s="13">
        <v>550</v>
      </c>
      <c r="H399" s="5">
        <f t="shared" si="7"/>
        <v>-11000</v>
      </c>
      <c r="J399" s="2"/>
      <c r="L399" s="2"/>
      <c r="O399" s="2"/>
    </row>
    <row r="400" spans="1:15" ht="12.6" hidden="1" customHeight="1" x14ac:dyDescent="0.25">
      <c r="A400" s="27">
        <v>45776</v>
      </c>
      <c r="B400" s="3" t="s">
        <v>104</v>
      </c>
      <c r="C400" s="4" t="s">
        <v>30</v>
      </c>
      <c r="D400" s="32" t="s">
        <v>15</v>
      </c>
      <c r="F400" s="2">
        <v>-10</v>
      </c>
      <c r="G400" s="13">
        <v>450</v>
      </c>
      <c r="H400" s="5">
        <f t="shared" si="7"/>
        <v>-4500</v>
      </c>
      <c r="J400" s="2"/>
      <c r="L400" s="2"/>
      <c r="O400" s="2"/>
    </row>
    <row r="401" spans="1:15" ht="12.6" hidden="1" customHeight="1" x14ac:dyDescent="0.25">
      <c r="A401" s="27">
        <v>45776</v>
      </c>
      <c r="B401" s="3" t="s">
        <v>104</v>
      </c>
      <c r="C401" s="4" t="s">
        <v>30</v>
      </c>
      <c r="D401" s="32" t="s">
        <v>7</v>
      </c>
      <c r="F401" s="18">
        <v>-53</v>
      </c>
      <c r="G401" s="13">
        <v>450</v>
      </c>
      <c r="H401" s="5">
        <f t="shared" si="7"/>
        <v>-23850</v>
      </c>
      <c r="J401" s="2"/>
      <c r="L401" s="2"/>
      <c r="O401" s="2"/>
    </row>
    <row r="402" spans="1:15" ht="12.6" hidden="1" customHeight="1" x14ac:dyDescent="0.25">
      <c r="A402" s="27">
        <v>45776</v>
      </c>
      <c r="B402" s="3" t="s">
        <v>104</v>
      </c>
      <c r="C402" s="4" t="s">
        <v>30</v>
      </c>
      <c r="D402" s="32" t="s">
        <v>5</v>
      </c>
      <c r="F402" s="37">
        <v>-3.5</v>
      </c>
      <c r="G402" s="13">
        <v>1400</v>
      </c>
      <c r="H402" s="5">
        <f t="shared" si="7"/>
        <v>-4900</v>
      </c>
      <c r="J402" s="2"/>
      <c r="L402" s="2"/>
      <c r="O402" s="2"/>
    </row>
    <row r="403" spans="1:15" ht="12.6" hidden="1" customHeight="1" x14ac:dyDescent="0.25">
      <c r="A403" s="27">
        <v>45776</v>
      </c>
      <c r="B403" s="3" t="s">
        <v>104</v>
      </c>
      <c r="C403" s="4" t="s">
        <v>30</v>
      </c>
      <c r="D403" s="32" t="s">
        <v>2</v>
      </c>
      <c r="F403" s="2">
        <v>-4</v>
      </c>
      <c r="G403" s="13">
        <v>1000</v>
      </c>
      <c r="H403" s="5">
        <f t="shared" si="7"/>
        <v>-4000</v>
      </c>
      <c r="J403" s="2"/>
      <c r="L403" s="2"/>
      <c r="O403" s="2"/>
    </row>
    <row r="404" spans="1:15" ht="12.6" hidden="1" customHeight="1" x14ac:dyDescent="0.25">
      <c r="A404" s="27">
        <v>45777</v>
      </c>
      <c r="B404" s="3" t="s">
        <v>105</v>
      </c>
      <c r="C404" s="4" t="s">
        <v>30</v>
      </c>
      <c r="D404" s="9" t="s">
        <v>20</v>
      </c>
      <c r="F404" s="2">
        <v>-8.1999999999999993</v>
      </c>
      <c r="G404" s="13">
        <v>1400</v>
      </c>
      <c r="H404" s="5">
        <f t="shared" si="7"/>
        <v>-11479.999999999998</v>
      </c>
      <c r="J404" s="2"/>
      <c r="L404" s="2"/>
      <c r="O404" s="2"/>
    </row>
    <row r="405" spans="1:15" ht="12.6" hidden="1" customHeight="1" x14ac:dyDescent="0.25">
      <c r="A405" s="27">
        <v>45777</v>
      </c>
      <c r="B405" s="3" t="s">
        <v>105</v>
      </c>
      <c r="C405" s="4" t="s">
        <v>30</v>
      </c>
      <c r="D405" s="34" t="s">
        <v>10</v>
      </c>
      <c r="E405" s="39"/>
      <c r="F405" s="11">
        <v>-5.9</v>
      </c>
      <c r="G405" s="11">
        <v>1200</v>
      </c>
      <c r="H405" s="5">
        <f t="shared" si="7"/>
        <v>-7080</v>
      </c>
      <c r="J405" s="2"/>
      <c r="L405" s="2"/>
      <c r="O405" s="2"/>
    </row>
    <row r="406" spans="1:15" ht="12.6" hidden="1" customHeight="1" x14ac:dyDescent="0.25">
      <c r="A406" s="27">
        <v>45777</v>
      </c>
      <c r="B406" s="3" t="s">
        <v>105</v>
      </c>
      <c r="C406" s="4" t="s">
        <v>30</v>
      </c>
      <c r="D406" s="32" t="s">
        <v>9</v>
      </c>
      <c r="F406" s="2">
        <v>-6</v>
      </c>
      <c r="G406" s="13">
        <v>800</v>
      </c>
      <c r="H406" s="5">
        <f t="shared" si="7"/>
        <v>-4800</v>
      </c>
      <c r="J406" s="2"/>
      <c r="L406" s="2"/>
      <c r="O406" s="2"/>
    </row>
    <row r="407" spans="1:15" ht="12.6" hidden="1" customHeight="1" x14ac:dyDescent="0.25">
      <c r="A407" s="27">
        <v>45777</v>
      </c>
      <c r="B407" s="3" t="s">
        <v>106</v>
      </c>
      <c r="C407" s="4" t="s">
        <v>87</v>
      </c>
      <c r="D407" s="29" t="s">
        <v>9</v>
      </c>
      <c r="E407" s="30"/>
      <c r="F407" s="31">
        <v>1200</v>
      </c>
      <c r="G407" s="31">
        <v>900</v>
      </c>
      <c r="H407" s="5">
        <f t="shared" si="7"/>
        <v>1080000</v>
      </c>
      <c r="J407" s="2"/>
      <c r="L407" s="2"/>
      <c r="O407" s="2"/>
    </row>
    <row r="408" spans="1:15" ht="12.6" hidden="1" customHeight="1" x14ac:dyDescent="0.25">
      <c r="A408" s="27">
        <v>45779</v>
      </c>
      <c r="B408" s="3" t="s">
        <v>107</v>
      </c>
      <c r="C408" s="4" t="s">
        <v>30</v>
      </c>
      <c r="D408" s="4" t="s">
        <v>15</v>
      </c>
      <c r="F408" s="2">
        <v>-10</v>
      </c>
      <c r="G408" s="13">
        <v>550</v>
      </c>
      <c r="H408" s="5">
        <f t="shared" si="7"/>
        <v>-5500</v>
      </c>
      <c r="J408" s="2"/>
      <c r="L408" s="2"/>
      <c r="O408" s="2"/>
    </row>
    <row r="409" spans="1:15" ht="12.6" customHeight="1" x14ac:dyDescent="0.25">
      <c r="A409" s="27">
        <v>45780</v>
      </c>
      <c r="B409" s="3" t="s">
        <v>108</v>
      </c>
      <c r="C409" s="4" t="s">
        <v>30</v>
      </c>
      <c r="D409" s="29" t="s">
        <v>0</v>
      </c>
      <c r="E409" s="30"/>
      <c r="F409" s="31">
        <v>-4</v>
      </c>
      <c r="G409" s="41">
        <v>1500</v>
      </c>
      <c r="H409" s="5">
        <f t="shared" si="7"/>
        <v>-6000</v>
      </c>
      <c r="J409" s="2"/>
      <c r="L409" s="2"/>
      <c r="O409" s="2"/>
    </row>
    <row r="410" spans="1:15" ht="12.6" hidden="1" customHeight="1" x14ac:dyDescent="0.25">
      <c r="A410" s="27">
        <v>45780</v>
      </c>
      <c r="B410" s="3" t="s">
        <v>108</v>
      </c>
      <c r="C410" s="4" t="s">
        <v>30</v>
      </c>
      <c r="D410" s="32" t="s">
        <v>2</v>
      </c>
      <c r="F410" s="2">
        <v>-3.8</v>
      </c>
      <c r="G410" s="13">
        <v>1100</v>
      </c>
      <c r="H410" s="5">
        <f t="shared" si="7"/>
        <v>-4180</v>
      </c>
      <c r="J410" s="2"/>
      <c r="L410" s="2"/>
      <c r="O410" s="2"/>
    </row>
    <row r="411" spans="1:15" ht="12.6" hidden="1" customHeight="1" x14ac:dyDescent="0.25">
      <c r="A411" s="27">
        <v>45783</v>
      </c>
      <c r="B411" s="3" t="s">
        <v>109</v>
      </c>
      <c r="C411" s="4" t="s">
        <v>30</v>
      </c>
      <c r="D411" s="4" t="s">
        <v>15</v>
      </c>
      <c r="F411" s="2">
        <v>-20</v>
      </c>
      <c r="G411" s="13">
        <v>600</v>
      </c>
      <c r="H411" s="5">
        <f t="shared" si="7"/>
        <v>-12000</v>
      </c>
      <c r="J411" s="2"/>
      <c r="L411" s="2"/>
      <c r="O411" s="2"/>
    </row>
    <row r="412" spans="1:15" ht="12.6" hidden="1" customHeight="1" x14ac:dyDescent="0.25">
      <c r="A412" s="27">
        <v>45783</v>
      </c>
      <c r="B412" s="3" t="s">
        <v>109</v>
      </c>
      <c r="C412" s="4" t="s">
        <v>30</v>
      </c>
      <c r="D412" s="34" t="s">
        <v>15</v>
      </c>
      <c r="E412" s="14"/>
      <c r="F412" s="8">
        <v>-20</v>
      </c>
      <c r="G412" s="11">
        <v>470</v>
      </c>
      <c r="H412" s="5">
        <f t="shared" si="7"/>
        <v>-9400</v>
      </c>
      <c r="J412" s="2"/>
      <c r="L412" s="2"/>
      <c r="O412" s="2"/>
    </row>
    <row r="413" spans="1:15" ht="12.6" hidden="1" customHeight="1" x14ac:dyDescent="0.25">
      <c r="A413" s="27">
        <v>45783</v>
      </c>
      <c r="B413" s="3" t="s">
        <v>109</v>
      </c>
      <c r="C413" s="4" t="s">
        <v>30</v>
      </c>
      <c r="D413" s="6" t="s">
        <v>5</v>
      </c>
      <c r="E413" s="14"/>
      <c r="F413" s="8">
        <v>-0.8</v>
      </c>
      <c r="G413" s="11">
        <v>1400</v>
      </c>
      <c r="H413" s="5">
        <f t="shared" si="7"/>
        <v>-1120</v>
      </c>
      <c r="J413" s="2"/>
      <c r="L413" s="2"/>
      <c r="O413" s="2"/>
    </row>
    <row r="414" spans="1:15" ht="12.6" customHeight="1" x14ac:dyDescent="0.25">
      <c r="A414" s="27">
        <v>45783</v>
      </c>
      <c r="B414" s="3" t="s">
        <v>109</v>
      </c>
      <c r="C414" s="4" t="s">
        <v>30</v>
      </c>
      <c r="D414" s="32" t="s">
        <v>0</v>
      </c>
      <c r="F414" s="2">
        <v>-3</v>
      </c>
      <c r="G414" s="33">
        <v>1700</v>
      </c>
      <c r="H414" s="5">
        <f t="shared" si="7"/>
        <v>-5100</v>
      </c>
      <c r="J414" s="2"/>
      <c r="L414" s="2"/>
      <c r="O414" s="2"/>
    </row>
    <row r="415" spans="1:15" ht="12.6" hidden="1" customHeight="1" x14ac:dyDescent="0.25">
      <c r="A415" s="27">
        <v>45783</v>
      </c>
      <c r="B415" s="3" t="s">
        <v>109</v>
      </c>
      <c r="C415" s="4" t="s">
        <v>30</v>
      </c>
      <c r="D415" s="32" t="s">
        <v>47</v>
      </c>
      <c r="F415" s="7">
        <v>-2.9</v>
      </c>
      <c r="G415" s="13">
        <v>1600</v>
      </c>
      <c r="H415" s="5">
        <f t="shared" si="7"/>
        <v>-4640</v>
      </c>
      <c r="J415" s="2"/>
      <c r="L415" s="2"/>
      <c r="O415" s="2"/>
    </row>
    <row r="416" spans="1:15" ht="12.6" hidden="1" customHeight="1" x14ac:dyDescent="0.25">
      <c r="A416" s="27">
        <v>45783</v>
      </c>
      <c r="B416" s="3" t="s">
        <v>109</v>
      </c>
      <c r="C416" s="4" t="s">
        <v>30</v>
      </c>
      <c r="D416" s="9" t="s">
        <v>8</v>
      </c>
      <c r="E416" s="12"/>
      <c r="F416" s="8">
        <v>-1</v>
      </c>
      <c r="G416" s="11">
        <v>1500</v>
      </c>
      <c r="H416" s="5">
        <f t="shared" si="7"/>
        <v>-1500</v>
      </c>
      <c r="J416" s="2"/>
      <c r="L416" s="2"/>
      <c r="O416" s="2"/>
    </row>
    <row r="417" spans="1:15" ht="12.6" hidden="1" customHeight="1" x14ac:dyDescent="0.25">
      <c r="A417" s="27">
        <v>45783</v>
      </c>
      <c r="B417" s="3" t="s">
        <v>109</v>
      </c>
      <c r="C417" s="4" t="s">
        <v>30</v>
      </c>
      <c r="D417" s="34" t="s">
        <v>74</v>
      </c>
      <c r="E417" s="14"/>
      <c r="F417" s="8">
        <v>-27</v>
      </c>
      <c r="G417" s="11">
        <v>850</v>
      </c>
      <c r="H417" s="5">
        <f t="shared" si="7"/>
        <v>-22950</v>
      </c>
      <c r="J417" s="2"/>
      <c r="L417" s="2"/>
      <c r="O417" s="2"/>
    </row>
    <row r="418" spans="1:15" ht="12.6" hidden="1" customHeight="1" x14ac:dyDescent="0.25">
      <c r="A418" s="27">
        <v>45783</v>
      </c>
      <c r="B418" s="3" t="s">
        <v>110</v>
      </c>
      <c r="C418" s="4" t="s">
        <v>76</v>
      </c>
      <c r="D418" s="35" t="s">
        <v>74</v>
      </c>
      <c r="F418" s="8">
        <v>27</v>
      </c>
      <c r="G418" s="13">
        <v>750</v>
      </c>
      <c r="H418" s="5">
        <f t="shared" si="7"/>
        <v>20250</v>
      </c>
      <c r="J418" s="2"/>
      <c r="L418" s="2"/>
      <c r="O418" s="2"/>
    </row>
    <row r="419" spans="1:15" ht="12.6" hidden="1" customHeight="1" x14ac:dyDescent="0.25">
      <c r="A419" s="27">
        <v>45784</v>
      </c>
      <c r="B419" s="3" t="s">
        <v>111</v>
      </c>
      <c r="C419" s="4" t="s">
        <v>30</v>
      </c>
      <c r="D419" s="32" t="s">
        <v>7</v>
      </c>
      <c r="F419" s="2">
        <v>-46</v>
      </c>
      <c r="G419" s="13">
        <v>450</v>
      </c>
      <c r="H419" s="5">
        <f t="shared" si="7"/>
        <v>-20700</v>
      </c>
      <c r="J419" s="2"/>
      <c r="L419" s="2"/>
      <c r="O419" s="2"/>
    </row>
    <row r="420" spans="1:15" ht="12.6" hidden="1" customHeight="1" x14ac:dyDescent="0.25">
      <c r="A420" s="27">
        <v>45784</v>
      </c>
      <c r="B420" s="3" t="s">
        <v>111</v>
      </c>
      <c r="C420" s="4" t="s">
        <v>30</v>
      </c>
      <c r="D420" s="32" t="s">
        <v>15</v>
      </c>
      <c r="F420" s="2">
        <v>-30</v>
      </c>
      <c r="G420" s="13">
        <v>600</v>
      </c>
      <c r="H420" s="5">
        <f t="shared" si="7"/>
        <v>-18000</v>
      </c>
      <c r="J420" s="2"/>
      <c r="L420" s="2"/>
      <c r="O420" s="2"/>
    </row>
    <row r="421" spans="1:15" ht="12.6" hidden="1" customHeight="1" x14ac:dyDescent="0.25">
      <c r="A421" s="27">
        <v>45784</v>
      </c>
      <c r="B421" s="3" t="s">
        <v>111</v>
      </c>
      <c r="C421" s="4" t="s">
        <v>30</v>
      </c>
      <c r="D421" s="32" t="s">
        <v>15</v>
      </c>
      <c r="F421" s="2">
        <v>-10</v>
      </c>
      <c r="G421" s="13">
        <v>470</v>
      </c>
      <c r="H421" s="5">
        <f t="shared" si="7"/>
        <v>-4700</v>
      </c>
      <c r="J421" s="2"/>
      <c r="L421" s="2"/>
      <c r="O421" s="2"/>
    </row>
    <row r="422" spans="1:15" ht="12.6" hidden="1" customHeight="1" x14ac:dyDescent="0.25">
      <c r="A422" s="27">
        <v>45784</v>
      </c>
      <c r="B422" s="3" t="s">
        <v>111</v>
      </c>
      <c r="C422" s="4" t="s">
        <v>30</v>
      </c>
      <c r="D422" s="32" t="s">
        <v>47</v>
      </c>
      <c r="F422" s="2">
        <v>-3.6</v>
      </c>
      <c r="G422" s="13">
        <v>1300</v>
      </c>
      <c r="H422" s="5">
        <f t="shared" si="7"/>
        <v>-4680</v>
      </c>
      <c r="J422" s="2"/>
      <c r="L422" s="2"/>
      <c r="O422" s="2"/>
    </row>
    <row r="423" spans="1:15" ht="12.6" hidden="1" customHeight="1" x14ac:dyDescent="0.25">
      <c r="A423" s="27">
        <v>45784</v>
      </c>
      <c r="B423" s="3" t="s">
        <v>111</v>
      </c>
      <c r="C423" s="4" t="s">
        <v>30</v>
      </c>
      <c r="D423" s="32" t="s">
        <v>8</v>
      </c>
      <c r="F423" s="17">
        <v>-2.2000000000000002</v>
      </c>
      <c r="G423" s="11">
        <v>1400</v>
      </c>
      <c r="H423" s="5">
        <f t="shared" si="7"/>
        <v>-3080.0000000000005</v>
      </c>
      <c r="J423" s="2"/>
      <c r="L423" s="2"/>
      <c r="O423" s="2"/>
    </row>
    <row r="424" spans="1:15" ht="12.6" hidden="1" customHeight="1" x14ac:dyDescent="0.25">
      <c r="A424" s="27">
        <v>45785</v>
      </c>
      <c r="B424" s="3" t="s">
        <v>112</v>
      </c>
      <c r="C424" s="4" t="s">
        <v>30</v>
      </c>
      <c r="D424" s="32" t="s">
        <v>15</v>
      </c>
      <c r="F424" s="2">
        <v>-20</v>
      </c>
      <c r="G424" s="13">
        <v>600</v>
      </c>
      <c r="H424" s="5">
        <f t="shared" si="7"/>
        <v>-12000</v>
      </c>
      <c r="J424" s="2"/>
      <c r="L424" s="2"/>
      <c r="O424" s="2"/>
    </row>
    <row r="425" spans="1:15" ht="12.6" hidden="1" customHeight="1" x14ac:dyDescent="0.25">
      <c r="A425" s="27">
        <v>45785</v>
      </c>
      <c r="B425" s="3" t="s">
        <v>112</v>
      </c>
      <c r="C425" s="4" t="s">
        <v>30</v>
      </c>
      <c r="D425" s="34" t="s">
        <v>2</v>
      </c>
      <c r="E425" s="14"/>
      <c r="F425" s="11">
        <v>-3</v>
      </c>
      <c r="G425" s="34">
        <v>1200</v>
      </c>
      <c r="H425" s="5">
        <f t="shared" si="7"/>
        <v>-3600</v>
      </c>
      <c r="J425" s="2"/>
      <c r="L425" s="2"/>
      <c r="O425" s="2"/>
    </row>
    <row r="426" spans="1:15" ht="12.6" hidden="1" customHeight="1" x14ac:dyDescent="0.25">
      <c r="A426" s="27">
        <v>45785</v>
      </c>
      <c r="B426" s="3" t="s">
        <v>112</v>
      </c>
      <c r="C426" s="4" t="s">
        <v>30</v>
      </c>
      <c r="D426" s="32" t="s">
        <v>7</v>
      </c>
      <c r="F426" s="7">
        <v>-53</v>
      </c>
      <c r="G426" s="13">
        <v>450</v>
      </c>
      <c r="H426" s="5">
        <f t="shared" si="7"/>
        <v>-23850</v>
      </c>
      <c r="J426" s="2"/>
      <c r="L426" s="2"/>
      <c r="O426" s="2"/>
    </row>
    <row r="427" spans="1:15" ht="12.6" hidden="1" customHeight="1" x14ac:dyDescent="0.25">
      <c r="A427" s="27">
        <v>45785</v>
      </c>
      <c r="B427" s="3" t="s">
        <v>112</v>
      </c>
      <c r="C427" s="4" t="s">
        <v>30</v>
      </c>
      <c r="D427" s="9" t="s">
        <v>5</v>
      </c>
      <c r="E427" s="12"/>
      <c r="F427" s="8">
        <v>-1.3</v>
      </c>
      <c r="G427" s="11">
        <v>2500</v>
      </c>
      <c r="H427" s="5">
        <f t="shared" si="7"/>
        <v>-3250</v>
      </c>
      <c r="J427" s="2"/>
      <c r="L427" s="2"/>
      <c r="O427" s="2"/>
    </row>
    <row r="428" spans="1:15" ht="12.6" hidden="1" customHeight="1" x14ac:dyDescent="0.25">
      <c r="A428" s="27">
        <v>45786</v>
      </c>
      <c r="B428" s="3" t="s">
        <v>113</v>
      </c>
      <c r="C428" s="4" t="s">
        <v>30</v>
      </c>
      <c r="D428" s="32" t="s">
        <v>8</v>
      </c>
      <c r="F428" s="2">
        <v>-3.5</v>
      </c>
      <c r="G428" s="13">
        <v>1100</v>
      </c>
      <c r="H428" s="5">
        <f t="shared" si="7"/>
        <v>-3850</v>
      </c>
      <c r="J428" s="2"/>
      <c r="L428" s="2"/>
      <c r="O428" s="2"/>
    </row>
    <row r="429" spans="1:15" ht="12.6" customHeight="1" x14ac:dyDescent="0.25">
      <c r="A429" s="27">
        <v>45786</v>
      </c>
      <c r="B429" s="3" t="s">
        <v>113</v>
      </c>
      <c r="C429" s="4" t="s">
        <v>30</v>
      </c>
      <c r="D429" s="32" t="s">
        <v>0</v>
      </c>
      <c r="F429" s="2">
        <v>-0.3</v>
      </c>
      <c r="G429" s="33">
        <v>2100</v>
      </c>
      <c r="H429" s="5">
        <f t="shared" si="7"/>
        <v>-630</v>
      </c>
      <c r="J429" s="2"/>
      <c r="L429" s="2"/>
      <c r="O429" s="2"/>
    </row>
    <row r="430" spans="1:15" ht="12.6" hidden="1" customHeight="1" x14ac:dyDescent="0.25">
      <c r="A430" s="27">
        <v>45787</v>
      </c>
      <c r="B430" s="3" t="s">
        <v>114</v>
      </c>
      <c r="C430" s="4" t="s">
        <v>30</v>
      </c>
      <c r="D430" s="32" t="s">
        <v>2</v>
      </c>
      <c r="F430" s="2">
        <v>-2</v>
      </c>
      <c r="G430" s="13">
        <v>1200</v>
      </c>
      <c r="H430" s="5">
        <f t="shared" si="7"/>
        <v>-2400</v>
      </c>
      <c r="J430" s="2"/>
      <c r="L430" s="2"/>
      <c r="O430" s="2"/>
    </row>
    <row r="431" spans="1:15" ht="12.6" customHeight="1" x14ac:dyDescent="0.25">
      <c r="A431" s="27">
        <v>45787</v>
      </c>
      <c r="B431" s="3" t="s">
        <v>114</v>
      </c>
      <c r="C431" s="4" t="s">
        <v>30</v>
      </c>
      <c r="D431" s="32" t="s">
        <v>0</v>
      </c>
      <c r="F431" s="2">
        <v>-1.3</v>
      </c>
      <c r="G431" s="33">
        <v>1700</v>
      </c>
      <c r="H431" s="5">
        <f t="shared" si="7"/>
        <v>-2210</v>
      </c>
      <c r="J431" s="2"/>
      <c r="L431" s="2"/>
      <c r="O431" s="2"/>
    </row>
    <row r="432" spans="1:15" ht="12.6" hidden="1" customHeight="1" x14ac:dyDescent="0.25">
      <c r="A432" s="27">
        <v>45787</v>
      </c>
      <c r="B432" s="3" t="s">
        <v>114</v>
      </c>
      <c r="C432" s="4" t="s">
        <v>30</v>
      </c>
      <c r="D432" s="32" t="s">
        <v>15</v>
      </c>
      <c r="F432" s="2">
        <v>-30</v>
      </c>
      <c r="G432" s="13">
        <v>600</v>
      </c>
      <c r="H432" s="5">
        <f t="shared" si="7"/>
        <v>-18000</v>
      </c>
      <c r="J432" s="2"/>
      <c r="L432" s="2"/>
      <c r="O432" s="2"/>
    </row>
    <row r="433" spans="1:15" ht="12.6" customHeight="1" x14ac:dyDescent="0.25">
      <c r="A433" s="27">
        <v>45753</v>
      </c>
      <c r="B433" s="3" t="s">
        <v>71</v>
      </c>
      <c r="C433" s="4" t="s">
        <v>65</v>
      </c>
      <c r="D433" s="32" t="s">
        <v>0</v>
      </c>
      <c r="F433" s="2">
        <v>18</v>
      </c>
      <c r="G433" s="33">
        <v>900</v>
      </c>
      <c r="H433" s="5">
        <f t="shared" si="7"/>
        <v>16200</v>
      </c>
      <c r="J433" s="2"/>
      <c r="L433" s="2"/>
      <c r="O433" s="2"/>
    </row>
    <row r="434" spans="1:15" ht="12.6" hidden="1" customHeight="1" x14ac:dyDescent="0.25">
      <c r="A434" s="27">
        <v>45790</v>
      </c>
      <c r="B434" s="3" t="s">
        <v>116</v>
      </c>
      <c r="C434" s="4" t="s">
        <v>30</v>
      </c>
      <c r="D434" s="32" t="s">
        <v>7</v>
      </c>
      <c r="F434" s="2">
        <v>-149</v>
      </c>
      <c r="G434" s="13">
        <v>480</v>
      </c>
      <c r="H434" s="5">
        <f t="shared" si="7"/>
        <v>-71520</v>
      </c>
      <c r="J434" s="2"/>
      <c r="L434" s="2"/>
      <c r="O434" s="2"/>
    </row>
    <row r="435" spans="1:15" ht="12.6" hidden="1" customHeight="1" x14ac:dyDescent="0.25">
      <c r="A435" s="27">
        <v>45790</v>
      </c>
      <c r="B435" s="3" t="s">
        <v>116</v>
      </c>
      <c r="C435" s="4" t="s">
        <v>30</v>
      </c>
      <c r="D435" s="9" t="s">
        <v>15</v>
      </c>
      <c r="E435" s="14"/>
      <c r="F435" s="31">
        <v>-30</v>
      </c>
      <c r="G435" s="11">
        <v>680</v>
      </c>
      <c r="H435" s="5">
        <f t="shared" si="7"/>
        <v>-20400</v>
      </c>
      <c r="J435" s="2"/>
      <c r="L435" s="2"/>
      <c r="O435" s="2"/>
    </row>
    <row r="436" spans="1:15" ht="12.6" hidden="1" customHeight="1" x14ac:dyDescent="0.25">
      <c r="A436" s="27">
        <v>45790</v>
      </c>
      <c r="B436" s="3" t="s">
        <v>116</v>
      </c>
      <c r="C436" s="4" t="s">
        <v>30</v>
      </c>
      <c r="D436" s="9" t="s">
        <v>47</v>
      </c>
      <c r="F436" s="2">
        <v>-2.9</v>
      </c>
      <c r="G436" s="11">
        <v>1000</v>
      </c>
      <c r="H436" s="5">
        <f t="shared" si="7"/>
        <v>-2900</v>
      </c>
      <c r="J436" s="2"/>
      <c r="L436" s="2"/>
      <c r="O436" s="2"/>
    </row>
    <row r="437" spans="1:15" ht="12.6" hidden="1" customHeight="1" x14ac:dyDescent="0.25">
      <c r="A437" s="27">
        <v>45790</v>
      </c>
      <c r="B437" s="3" t="s">
        <v>116</v>
      </c>
      <c r="C437" s="4" t="s">
        <v>30</v>
      </c>
      <c r="D437" s="32" t="s">
        <v>5</v>
      </c>
      <c r="F437" s="2">
        <v>-1.2</v>
      </c>
      <c r="G437" s="13">
        <v>2300</v>
      </c>
      <c r="H437" s="5">
        <f t="shared" si="7"/>
        <v>-2760</v>
      </c>
      <c r="J437" s="2"/>
      <c r="L437" s="2"/>
      <c r="O437" s="2"/>
    </row>
    <row r="438" spans="1:15" ht="12.6" hidden="1" customHeight="1" x14ac:dyDescent="0.25">
      <c r="A438" s="27">
        <v>45790</v>
      </c>
      <c r="B438" s="3" t="s">
        <v>116</v>
      </c>
      <c r="C438" s="4" t="s">
        <v>30</v>
      </c>
      <c r="D438" s="34" t="s">
        <v>2</v>
      </c>
      <c r="E438" s="36"/>
      <c r="F438" s="11">
        <v>-3.5</v>
      </c>
      <c r="G438" s="11">
        <v>1200</v>
      </c>
      <c r="H438" s="5">
        <f t="shared" si="7"/>
        <v>-4200</v>
      </c>
      <c r="J438" s="2"/>
      <c r="L438" s="2"/>
      <c r="O438" s="2"/>
    </row>
    <row r="439" spans="1:15" ht="12.6" hidden="1" customHeight="1" x14ac:dyDescent="0.25">
      <c r="A439" s="27">
        <v>45790</v>
      </c>
      <c r="B439" s="3" t="s">
        <v>116</v>
      </c>
      <c r="C439" s="4" t="s">
        <v>30</v>
      </c>
      <c r="D439" s="32" t="s">
        <v>74</v>
      </c>
      <c r="F439" s="2">
        <v>-42</v>
      </c>
      <c r="G439" s="13">
        <v>850</v>
      </c>
      <c r="H439" s="5">
        <f t="shared" si="7"/>
        <v>-35700</v>
      </c>
      <c r="J439" s="2"/>
      <c r="L439" s="2"/>
      <c r="O439" s="2"/>
    </row>
    <row r="440" spans="1:15" ht="12.6" hidden="1" customHeight="1" x14ac:dyDescent="0.25">
      <c r="A440" s="27">
        <v>45790</v>
      </c>
      <c r="B440" s="3" t="s">
        <v>117</v>
      </c>
      <c r="C440" s="4" t="s">
        <v>76</v>
      </c>
      <c r="D440" s="32" t="s">
        <v>74</v>
      </c>
      <c r="F440" s="2">
        <v>42</v>
      </c>
      <c r="G440" s="13">
        <v>750</v>
      </c>
      <c r="H440" s="5">
        <f t="shared" si="7"/>
        <v>31500</v>
      </c>
      <c r="J440" s="2"/>
      <c r="L440" s="2"/>
      <c r="O440" s="2"/>
    </row>
    <row r="441" spans="1:15" ht="12.6" hidden="1" customHeight="1" x14ac:dyDescent="0.25">
      <c r="A441" s="27">
        <v>45790</v>
      </c>
      <c r="B441" s="3" t="s">
        <v>118</v>
      </c>
      <c r="C441" s="4" t="s">
        <v>46</v>
      </c>
      <c r="D441" s="9" t="s">
        <v>7</v>
      </c>
      <c r="E441" s="12"/>
      <c r="F441" s="8">
        <v>250</v>
      </c>
      <c r="G441" s="11">
        <v>250</v>
      </c>
      <c r="H441" s="5">
        <f t="shared" si="7"/>
        <v>62500</v>
      </c>
      <c r="J441" s="2"/>
      <c r="L441" s="2"/>
      <c r="O441" s="2"/>
    </row>
    <row r="442" spans="1:15" ht="12.6" customHeight="1" x14ac:dyDescent="0.25">
      <c r="A442" s="40">
        <v>45757</v>
      </c>
      <c r="B442" s="14" t="s">
        <v>80</v>
      </c>
      <c r="C442" s="15" t="s">
        <v>65</v>
      </c>
      <c r="D442" s="16" t="s">
        <v>0</v>
      </c>
      <c r="E442" s="14"/>
      <c r="F442" s="8">
        <v>6.5</v>
      </c>
      <c r="G442" s="22">
        <v>900</v>
      </c>
      <c r="H442" s="5">
        <f t="shared" si="7"/>
        <v>5850</v>
      </c>
      <c r="J442" s="2"/>
      <c r="L442" s="2"/>
      <c r="O442" s="2"/>
    </row>
    <row r="443" spans="1:15" ht="12.6" hidden="1" customHeight="1" x14ac:dyDescent="0.25">
      <c r="A443" s="27">
        <v>45791</v>
      </c>
      <c r="B443" s="3" t="s">
        <v>120</v>
      </c>
      <c r="C443" s="4" t="s">
        <v>30</v>
      </c>
      <c r="D443" s="34" t="s">
        <v>15</v>
      </c>
      <c r="E443" s="14"/>
      <c r="F443" s="8">
        <v>-10</v>
      </c>
      <c r="G443" s="11">
        <v>470</v>
      </c>
      <c r="H443" s="5">
        <f t="shared" ref="H443:H449" si="8">(E443*G443)+(F443*G443)</f>
        <v>-4700</v>
      </c>
      <c r="J443" s="2"/>
      <c r="L443" s="2"/>
      <c r="O443" s="2"/>
    </row>
    <row r="444" spans="1:15" ht="12.6" customHeight="1" x14ac:dyDescent="0.25">
      <c r="A444" s="27">
        <v>45791</v>
      </c>
      <c r="B444" s="3" t="s">
        <v>120</v>
      </c>
      <c r="C444" s="4" t="s">
        <v>30</v>
      </c>
      <c r="D444" s="32" t="s">
        <v>0</v>
      </c>
      <c r="E444" s="3"/>
      <c r="F444" s="2">
        <v>-3.5</v>
      </c>
      <c r="G444" s="33">
        <v>1700</v>
      </c>
      <c r="H444" s="5">
        <f t="shared" si="8"/>
        <v>-5950</v>
      </c>
      <c r="J444" s="2"/>
      <c r="L444" s="2"/>
      <c r="O444" s="2"/>
    </row>
    <row r="445" spans="1:15" ht="12.6" hidden="1" customHeight="1" x14ac:dyDescent="0.25">
      <c r="A445" s="27">
        <v>45792</v>
      </c>
      <c r="B445" s="3" t="s">
        <v>121</v>
      </c>
      <c r="C445" s="4" t="s">
        <v>30</v>
      </c>
      <c r="D445" s="34" t="s">
        <v>15</v>
      </c>
      <c r="E445" s="14"/>
      <c r="F445" s="8">
        <v>-10</v>
      </c>
      <c r="G445" s="11">
        <v>630</v>
      </c>
      <c r="H445" s="5">
        <f t="shared" si="8"/>
        <v>-6300</v>
      </c>
      <c r="J445" s="2"/>
      <c r="L445" s="2"/>
      <c r="O445" s="2"/>
    </row>
    <row r="446" spans="1:15" ht="12.6" hidden="1" customHeight="1" x14ac:dyDescent="0.25">
      <c r="A446" s="27">
        <v>45792</v>
      </c>
      <c r="B446" s="3" t="s">
        <v>121</v>
      </c>
      <c r="C446" s="4" t="s">
        <v>30</v>
      </c>
      <c r="D446" s="34" t="s">
        <v>15</v>
      </c>
      <c r="E446" s="14"/>
      <c r="F446" s="8">
        <v>-20</v>
      </c>
      <c r="G446" s="11">
        <v>580</v>
      </c>
      <c r="H446" s="5">
        <f t="shared" si="8"/>
        <v>-11600</v>
      </c>
      <c r="J446" s="2"/>
      <c r="L446" s="2"/>
      <c r="O446" s="2"/>
    </row>
    <row r="447" spans="1:15" ht="12.6" hidden="1" customHeight="1" x14ac:dyDescent="0.25">
      <c r="A447" s="27">
        <v>45792</v>
      </c>
      <c r="B447" s="3" t="s">
        <v>121</v>
      </c>
      <c r="C447" s="4" t="s">
        <v>30</v>
      </c>
      <c r="D447" s="9" t="s">
        <v>15</v>
      </c>
      <c r="E447" s="12"/>
      <c r="F447" s="8">
        <v>-10</v>
      </c>
      <c r="G447" s="11">
        <v>550</v>
      </c>
      <c r="H447" s="5">
        <f t="shared" si="8"/>
        <v>-5500</v>
      </c>
      <c r="J447" s="2"/>
      <c r="L447" s="2"/>
      <c r="O447" s="2"/>
    </row>
    <row r="448" spans="1:15" ht="12.6" hidden="1" customHeight="1" x14ac:dyDescent="0.25">
      <c r="A448" s="27">
        <v>45793</v>
      </c>
      <c r="B448" s="3" t="s">
        <v>122</v>
      </c>
      <c r="C448" s="4" t="s">
        <v>30</v>
      </c>
      <c r="D448" s="9" t="s">
        <v>15</v>
      </c>
      <c r="E448" s="12"/>
      <c r="F448" s="8">
        <v>-30</v>
      </c>
      <c r="G448" s="11">
        <v>650</v>
      </c>
      <c r="H448" s="5">
        <f t="shared" si="8"/>
        <v>-19500</v>
      </c>
      <c r="J448" s="2"/>
      <c r="L448" s="2"/>
      <c r="O448" s="2"/>
    </row>
    <row r="449" spans="1:15" ht="12.6" hidden="1" customHeight="1" x14ac:dyDescent="0.25">
      <c r="A449" s="27">
        <v>45793</v>
      </c>
      <c r="B449" s="3" t="s">
        <v>122</v>
      </c>
      <c r="C449" s="4" t="s">
        <v>30</v>
      </c>
      <c r="D449" s="32" t="s">
        <v>2</v>
      </c>
      <c r="F449" s="2">
        <v>-2</v>
      </c>
      <c r="G449" s="13">
        <v>1100</v>
      </c>
      <c r="H449" s="5">
        <f t="shared" si="8"/>
        <v>-2200</v>
      </c>
      <c r="J449" s="2"/>
      <c r="L449" s="2"/>
      <c r="O449" s="2"/>
    </row>
    <row r="450" spans="1:15" ht="12.6" hidden="1" customHeight="1" x14ac:dyDescent="0.25">
      <c r="A450" s="27">
        <v>45793</v>
      </c>
      <c r="B450" s="3" t="s">
        <v>123</v>
      </c>
      <c r="C450" s="4" t="s">
        <v>124</v>
      </c>
      <c r="D450" s="32" t="s">
        <v>15</v>
      </c>
      <c r="F450" s="2">
        <v>70</v>
      </c>
      <c r="G450" s="13">
        <v>420</v>
      </c>
      <c r="H450" s="5">
        <f t="shared" ref="H450:H513" si="9">(E450*G450)+(F450*G450)</f>
        <v>29400</v>
      </c>
      <c r="J450" s="2"/>
    </row>
    <row r="451" spans="1:15" ht="12.6" hidden="1" customHeight="1" x14ac:dyDescent="0.25">
      <c r="A451" s="27">
        <v>45794</v>
      </c>
      <c r="B451" s="3" t="s">
        <v>125</v>
      </c>
      <c r="C451" s="4" t="s">
        <v>30</v>
      </c>
      <c r="D451" s="29" t="s">
        <v>15</v>
      </c>
      <c r="E451" s="30"/>
      <c r="F451" s="31">
        <v>-10</v>
      </c>
      <c r="G451" s="31">
        <v>650</v>
      </c>
      <c r="H451" s="5">
        <f t="shared" si="9"/>
        <v>-6500</v>
      </c>
      <c r="J451" s="2"/>
    </row>
    <row r="452" spans="1:15" ht="12.6" hidden="1" customHeight="1" x14ac:dyDescent="0.25">
      <c r="A452" s="27">
        <v>45794</v>
      </c>
      <c r="B452" s="3" t="s">
        <v>125</v>
      </c>
      <c r="C452" s="4" t="s">
        <v>30</v>
      </c>
      <c r="D452" s="29" t="s">
        <v>15</v>
      </c>
      <c r="F452" s="2">
        <v>-10</v>
      </c>
      <c r="G452" s="13">
        <v>500</v>
      </c>
      <c r="H452" s="5">
        <f t="shared" si="9"/>
        <v>-5000</v>
      </c>
      <c r="J452" s="2"/>
    </row>
    <row r="453" spans="1:15" ht="12.6" hidden="1" customHeight="1" x14ac:dyDescent="0.25">
      <c r="A453" s="27">
        <v>45794</v>
      </c>
      <c r="B453" s="3" t="s">
        <v>125</v>
      </c>
      <c r="C453" s="4" t="s">
        <v>30</v>
      </c>
      <c r="D453" s="29" t="s">
        <v>2</v>
      </c>
      <c r="F453" s="2">
        <v>-2.7</v>
      </c>
      <c r="G453" s="13">
        <v>1200</v>
      </c>
      <c r="H453" s="5">
        <f t="shared" si="9"/>
        <v>-3240</v>
      </c>
      <c r="J453" s="2"/>
    </row>
    <row r="454" spans="1:15" ht="12.6" hidden="1" customHeight="1" x14ac:dyDescent="0.25">
      <c r="A454" s="27">
        <v>45795</v>
      </c>
      <c r="B454" s="3" t="s">
        <v>126</v>
      </c>
      <c r="C454" s="4" t="s">
        <v>124</v>
      </c>
      <c r="D454" s="29" t="s">
        <v>15</v>
      </c>
      <c r="F454" s="2">
        <v>70</v>
      </c>
      <c r="G454" s="13">
        <v>420</v>
      </c>
      <c r="H454" s="5">
        <f t="shared" si="9"/>
        <v>29400</v>
      </c>
      <c r="J454" s="2"/>
    </row>
    <row r="455" spans="1:15" ht="12.6" hidden="1" customHeight="1" x14ac:dyDescent="0.25">
      <c r="A455" s="27">
        <v>45796</v>
      </c>
      <c r="B455" s="3" t="s">
        <v>127</v>
      </c>
      <c r="C455" s="4" t="s">
        <v>30</v>
      </c>
      <c r="D455" s="32" t="s">
        <v>2</v>
      </c>
      <c r="F455" s="2">
        <v>-5</v>
      </c>
      <c r="G455" s="13">
        <v>1400</v>
      </c>
      <c r="H455" s="5">
        <f t="shared" si="9"/>
        <v>-7000</v>
      </c>
      <c r="J455" s="2"/>
    </row>
    <row r="456" spans="1:15" ht="12.6" customHeight="1" x14ac:dyDescent="0.25">
      <c r="A456" s="27">
        <v>45796</v>
      </c>
      <c r="B456" s="3" t="s">
        <v>127</v>
      </c>
      <c r="C456" s="4" t="s">
        <v>30</v>
      </c>
      <c r="D456" s="32" t="s">
        <v>0</v>
      </c>
      <c r="F456" s="2">
        <v>-3.3</v>
      </c>
      <c r="G456" s="33">
        <v>2400</v>
      </c>
      <c r="H456" s="5">
        <f t="shared" si="9"/>
        <v>-7920</v>
      </c>
      <c r="J456" s="2"/>
    </row>
    <row r="457" spans="1:15" ht="12.6" hidden="1" customHeight="1" x14ac:dyDescent="0.25">
      <c r="A457" s="27">
        <v>45796</v>
      </c>
      <c r="B457" s="3" t="s">
        <v>127</v>
      </c>
      <c r="C457" s="4" t="s">
        <v>30</v>
      </c>
      <c r="D457" s="34" t="s">
        <v>15</v>
      </c>
      <c r="E457" s="14"/>
      <c r="F457" s="11">
        <v>-30</v>
      </c>
      <c r="G457" s="34">
        <v>650</v>
      </c>
      <c r="H457" s="5">
        <f t="shared" si="9"/>
        <v>-19500</v>
      </c>
      <c r="J457" s="2"/>
    </row>
    <row r="458" spans="1:15" ht="12.6" hidden="1" customHeight="1" x14ac:dyDescent="0.25">
      <c r="A458" s="27">
        <v>45796</v>
      </c>
      <c r="B458" s="3" t="s">
        <v>127</v>
      </c>
      <c r="C458" s="4" t="s">
        <v>30</v>
      </c>
      <c r="D458" s="9" t="s">
        <v>9</v>
      </c>
      <c r="E458" s="12"/>
      <c r="F458" s="8">
        <v>-72</v>
      </c>
      <c r="G458" s="11">
        <v>1100</v>
      </c>
      <c r="H458" s="5">
        <f t="shared" si="9"/>
        <v>-79200</v>
      </c>
      <c r="J458" s="2"/>
    </row>
    <row r="459" spans="1:15" ht="12.6" hidden="1" customHeight="1" x14ac:dyDescent="0.25">
      <c r="A459" s="27">
        <v>45796</v>
      </c>
      <c r="B459" s="3" t="s">
        <v>127</v>
      </c>
      <c r="C459" s="4" t="s">
        <v>30</v>
      </c>
      <c r="D459" s="9" t="s">
        <v>5</v>
      </c>
      <c r="E459" s="12"/>
      <c r="F459" s="8">
        <v>-1.7</v>
      </c>
      <c r="G459" s="11">
        <v>2700</v>
      </c>
      <c r="H459" s="5">
        <f t="shared" si="9"/>
        <v>-4590</v>
      </c>
      <c r="J459" s="2"/>
    </row>
    <row r="460" spans="1:15" ht="12.6" hidden="1" customHeight="1" x14ac:dyDescent="0.25">
      <c r="A460" s="27">
        <v>45798</v>
      </c>
      <c r="B460" s="3" t="s">
        <v>128</v>
      </c>
      <c r="C460" s="4" t="s">
        <v>30</v>
      </c>
      <c r="D460" s="32" t="s">
        <v>15</v>
      </c>
      <c r="F460" s="2">
        <v>-40</v>
      </c>
      <c r="G460" s="13">
        <v>650</v>
      </c>
      <c r="H460" s="5">
        <f t="shared" si="9"/>
        <v>-26000</v>
      </c>
      <c r="J460" s="2"/>
    </row>
    <row r="461" spans="1:15" ht="12.6" hidden="1" customHeight="1" x14ac:dyDescent="0.25">
      <c r="A461" s="27">
        <v>45798</v>
      </c>
      <c r="B461" s="3" t="s">
        <v>128</v>
      </c>
      <c r="C461" s="4" t="s">
        <v>30</v>
      </c>
      <c r="D461" s="29" t="s">
        <v>15</v>
      </c>
      <c r="E461" s="30"/>
      <c r="F461" s="31">
        <v>-20</v>
      </c>
      <c r="G461" s="31">
        <v>500</v>
      </c>
      <c r="H461" s="5">
        <f t="shared" si="9"/>
        <v>-10000</v>
      </c>
    </row>
    <row r="462" spans="1:15" ht="12.6" hidden="1" customHeight="1" x14ac:dyDescent="0.25">
      <c r="A462" s="27">
        <v>45798</v>
      </c>
      <c r="B462" s="3" t="s">
        <v>128</v>
      </c>
      <c r="C462" s="4" t="s">
        <v>30</v>
      </c>
      <c r="D462" s="9" t="s">
        <v>47</v>
      </c>
      <c r="F462" s="2">
        <v>-2.9</v>
      </c>
      <c r="G462" s="13">
        <v>1500</v>
      </c>
      <c r="H462" s="5">
        <f t="shared" si="9"/>
        <v>-4350</v>
      </c>
    </row>
    <row r="463" spans="1:15" ht="12.6" hidden="1" customHeight="1" x14ac:dyDescent="0.25">
      <c r="A463" s="27">
        <v>45798</v>
      </c>
      <c r="B463" s="3" t="s">
        <v>128</v>
      </c>
      <c r="C463" s="4" t="s">
        <v>30</v>
      </c>
      <c r="D463" s="9" t="s">
        <v>8</v>
      </c>
      <c r="E463" s="12"/>
      <c r="F463" s="8">
        <v>-2.2000000000000002</v>
      </c>
      <c r="G463" s="11">
        <v>1200</v>
      </c>
      <c r="H463" s="5">
        <f t="shared" si="9"/>
        <v>-2640</v>
      </c>
    </row>
    <row r="464" spans="1:15" ht="12.6" hidden="1" customHeight="1" x14ac:dyDescent="0.25">
      <c r="A464" s="27">
        <v>45798</v>
      </c>
      <c r="B464" s="3" t="s">
        <v>128</v>
      </c>
      <c r="C464" s="4" t="s">
        <v>30</v>
      </c>
      <c r="D464" s="29" t="s">
        <v>5</v>
      </c>
      <c r="F464" s="2">
        <v>-1.6</v>
      </c>
      <c r="G464" s="13">
        <v>2000</v>
      </c>
      <c r="H464" s="5">
        <f t="shared" si="9"/>
        <v>-3200</v>
      </c>
    </row>
    <row r="465" spans="1:8" ht="12.6" hidden="1" customHeight="1" x14ac:dyDescent="0.25">
      <c r="A465" s="27">
        <v>45799</v>
      </c>
      <c r="B465" s="3" t="s">
        <v>129</v>
      </c>
      <c r="C465" s="4" t="s">
        <v>46</v>
      </c>
      <c r="D465" s="32" t="s">
        <v>7</v>
      </c>
      <c r="F465" s="2">
        <v>310</v>
      </c>
      <c r="G465" s="13">
        <v>260</v>
      </c>
      <c r="H465" s="5">
        <f t="shared" si="9"/>
        <v>80600</v>
      </c>
    </row>
    <row r="466" spans="1:8" ht="12.6" hidden="1" customHeight="1" x14ac:dyDescent="0.25">
      <c r="A466" s="27">
        <v>45799</v>
      </c>
      <c r="B466" s="3" t="s">
        <v>130</v>
      </c>
      <c r="C466" s="4" t="s">
        <v>30</v>
      </c>
      <c r="D466" s="9" t="s">
        <v>7</v>
      </c>
      <c r="F466" s="7">
        <v>-30</v>
      </c>
      <c r="G466" s="13">
        <v>600</v>
      </c>
      <c r="H466" s="5">
        <f t="shared" si="9"/>
        <v>-18000</v>
      </c>
    </row>
    <row r="467" spans="1:8" ht="12.6" hidden="1" customHeight="1" x14ac:dyDescent="0.25">
      <c r="A467" s="27">
        <v>45799</v>
      </c>
      <c r="B467" s="3" t="s">
        <v>130</v>
      </c>
      <c r="C467" s="4" t="s">
        <v>30</v>
      </c>
      <c r="D467" s="9" t="s">
        <v>7</v>
      </c>
      <c r="E467" s="30"/>
      <c r="F467" s="8">
        <v>-50</v>
      </c>
      <c r="G467" s="11">
        <v>550</v>
      </c>
      <c r="H467" s="5">
        <f t="shared" si="9"/>
        <v>-27500</v>
      </c>
    </row>
    <row r="468" spans="1:8" ht="12.6" hidden="1" customHeight="1" x14ac:dyDescent="0.25">
      <c r="A468" s="27">
        <v>45799</v>
      </c>
      <c r="B468" s="3" t="s">
        <v>130</v>
      </c>
      <c r="C468" s="4" t="s">
        <v>30</v>
      </c>
      <c r="D468" s="34" t="s">
        <v>47</v>
      </c>
      <c r="E468" s="14"/>
      <c r="F468" s="11">
        <v>-2.6</v>
      </c>
      <c r="G468" s="11">
        <v>1200</v>
      </c>
      <c r="H468" s="5">
        <f t="shared" si="9"/>
        <v>-3120</v>
      </c>
    </row>
    <row r="469" spans="1:8" ht="12.6" hidden="1" customHeight="1" x14ac:dyDescent="0.25">
      <c r="A469" s="27">
        <v>45799</v>
      </c>
      <c r="B469" s="3" t="s">
        <v>130</v>
      </c>
      <c r="C469" s="4" t="s">
        <v>30</v>
      </c>
      <c r="D469" s="9" t="s">
        <v>2</v>
      </c>
      <c r="E469" s="30"/>
      <c r="F469" s="8">
        <v>-4</v>
      </c>
      <c r="G469" s="11">
        <v>1100</v>
      </c>
      <c r="H469" s="5">
        <f t="shared" si="9"/>
        <v>-4400</v>
      </c>
    </row>
    <row r="470" spans="1:8" ht="12.6" customHeight="1" x14ac:dyDescent="0.25">
      <c r="A470" s="27">
        <v>45799</v>
      </c>
      <c r="B470" s="3" t="s">
        <v>130</v>
      </c>
      <c r="C470" s="4" t="s">
        <v>30</v>
      </c>
      <c r="D470" s="32" t="s">
        <v>0</v>
      </c>
      <c r="F470" s="7">
        <v>-4</v>
      </c>
      <c r="G470" s="33">
        <v>2200</v>
      </c>
      <c r="H470" s="5">
        <f t="shared" si="9"/>
        <v>-8800</v>
      </c>
    </row>
    <row r="471" spans="1:8" ht="12.6" hidden="1" customHeight="1" x14ac:dyDescent="0.25">
      <c r="A471" s="27">
        <v>45799</v>
      </c>
      <c r="B471" s="3" t="s">
        <v>131</v>
      </c>
      <c r="C471" s="4" t="s">
        <v>46</v>
      </c>
      <c r="D471" s="32" t="s">
        <v>15</v>
      </c>
      <c r="F471" s="2">
        <v>250</v>
      </c>
      <c r="G471" s="13">
        <v>360</v>
      </c>
      <c r="H471" s="5">
        <f t="shared" si="9"/>
        <v>90000</v>
      </c>
    </row>
    <row r="472" spans="1:8" ht="12.6" hidden="1" customHeight="1" x14ac:dyDescent="0.25">
      <c r="A472" s="27">
        <v>45799</v>
      </c>
      <c r="B472" s="3" t="s">
        <v>131</v>
      </c>
      <c r="C472" s="4" t="s">
        <v>46</v>
      </c>
      <c r="D472" s="32" t="s">
        <v>15</v>
      </c>
      <c r="F472" s="2">
        <v>250</v>
      </c>
      <c r="G472" s="13">
        <v>375</v>
      </c>
      <c r="H472" s="5">
        <f t="shared" si="9"/>
        <v>93750</v>
      </c>
    </row>
    <row r="473" spans="1:8" ht="12.6" hidden="1" customHeight="1" x14ac:dyDescent="0.25">
      <c r="A473" s="27">
        <v>45799</v>
      </c>
      <c r="B473" s="3" t="s">
        <v>132</v>
      </c>
      <c r="C473" s="4" t="s">
        <v>76</v>
      </c>
      <c r="D473" s="34" t="s">
        <v>15</v>
      </c>
      <c r="E473" s="14"/>
      <c r="F473" s="11">
        <v>500</v>
      </c>
      <c r="G473" s="11">
        <v>350</v>
      </c>
      <c r="H473" s="5">
        <f t="shared" si="9"/>
        <v>175000</v>
      </c>
    </row>
    <row r="474" spans="1:8" ht="12.6" hidden="1" customHeight="1" x14ac:dyDescent="0.25">
      <c r="A474" s="27">
        <v>45800</v>
      </c>
      <c r="B474" s="3" t="s">
        <v>133</v>
      </c>
      <c r="C474" s="4" t="s">
        <v>30</v>
      </c>
      <c r="D474" s="9" t="s">
        <v>15</v>
      </c>
      <c r="F474" s="2">
        <v>-30</v>
      </c>
      <c r="G474" s="13">
        <v>600</v>
      </c>
      <c r="H474" s="5">
        <f t="shared" si="9"/>
        <v>-18000</v>
      </c>
    </row>
    <row r="475" spans="1:8" ht="12.6" hidden="1" customHeight="1" x14ac:dyDescent="0.25">
      <c r="A475" s="27">
        <v>45800</v>
      </c>
      <c r="B475" s="3" t="s">
        <v>133</v>
      </c>
      <c r="C475" s="4" t="s">
        <v>30</v>
      </c>
      <c r="D475" s="34" t="s">
        <v>15</v>
      </c>
      <c r="E475" s="12"/>
      <c r="F475" s="11">
        <v>-10</v>
      </c>
      <c r="G475" s="11">
        <v>450</v>
      </c>
      <c r="H475" s="5">
        <f t="shared" si="9"/>
        <v>-4500</v>
      </c>
    </row>
    <row r="476" spans="1:8" ht="12.6" hidden="1" customHeight="1" x14ac:dyDescent="0.25">
      <c r="A476" s="27">
        <v>45803</v>
      </c>
      <c r="B476" s="3" t="s">
        <v>134</v>
      </c>
      <c r="C476" s="4" t="s">
        <v>30</v>
      </c>
      <c r="D476" s="32" t="s">
        <v>15</v>
      </c>
      <c r="E476" s="14"/>
      <c r="F476" s="11">
        <v>-110</v>
      </c>
      <c r="G476" s="11">
        <v>600</v>
      </c>
      <c r="H476" s="5">
        <f t="shared" si="9"/>
        <v>-66000</v>
      </c>
    </row>
    <row r="477" spans="1:8" ht="12.6" hidden="1" customHeight="1" x14ac:dyDescent="0.25">
      <c r="A477" s="27">
        <v>45803</v>
      </c>
      <c r="B477" s="3" t="s">
        <v>134</v>
      </c>
      <c r="C477" s="4" t="s">
        <v>30</v>
      </c>
      <c r="D477" s="32" t="s">
        <v>15</v>
      </c>
      <c r="F477" s="2">
        <v>-30</v>
      </c>
      <c r="G477" s="13">
        <v>650</v>
      </c>
      <c r="H477" s="5">
        <f t="shared" si="9"/>
        <v>-19500</v>
      </c>
    </row>
    <row r="478" spans="1:8" ht="12.6" customHeight="1" x14ac:dyDescent="0.25">
      <c r="A478" s="27">
        <v>45803</v>
      </c>
      <c r="B478" s="3" t="s">
        <v>134</v>
      </c>
      <c r="C478" s="4" t="s">
        <v>30</v>
      </c>
      <c r="D478" s="32" t="s">
        <v>0</v>
      </c>
      <c r="F478" s="2">
        <v>-3.65</v>
      </c>
      <c r="G478" s="33">
        <v>2700</v>
      </c>
      <c r="H478" s="5">
        <f t="shared" si="9"/>
        <v>-9855</v>
      </c>
    </row>
    <row r="479" spans="1:8" ht="12.6" hidden="1" customHeight="1" x14ac:dyDescent="0.25">
      <c r="A479" s="27">
        <v>45803</v>
      </c>
      <c r="B479" s="3" t="s">
        <v>134</v>
      </c>
      <c r="C479" s="4" t="s">
        <v>30</v>
      </c>
      <c r="D479" s="32" t="s">
        <v>5</v>
      </c>
      <c r="F479" s="2">
        <v>-0.5</v>
      </c>
      <c r="G479" s="13">
        <v>1200</v>
      </c>
      <c r="H479" s="5">
        <f t="shared" si="9"/>
        <v>-600</v>
      </c>
    </row>
    <row r="480" spans="1:8" ht="12.6" hidden="1" customHeight="1" x14ac:dyDescent="0.25">
      <c r="A480" s="27">
        <v>45803</v>
      </c>
      <c r="B480" s="3" t="s">
        <v>134</v>
      </c>
      <c r="C480" s="4" t="s">
        <v>30</v>
      </c>
      <c r="D480" s="34" t="s">
        <v>74</v>
      </c>
      <c r="E480" s="36"/>
      <c r="F480" s="11">
        <v>-26.2</v>
      </c>
      <c r="G480" s="11">
        <v>850</v>
      </c>
      <c r="H480" s="5">
        <f t="shared" si="9"/>
        <v>-22270</v>
      </c>
    </row>
    <row r="481" spans="1:8" ht="12.6" hidden="1" customHeight="1" x14ac:dyDescent="0.25">
      <c r="A481" s="27">
        <v>45803</v>
      </c>
      <c r="B481" s="3" t="s">
        <v>134</v>
      </c>
      <c r="C481" s="4" t="s">
        <v>30</v>
      </c>
      <c r="D481" s="32" t="s">
        <v>84</v>
      </c>
      <c r="F481" s="2">
        <v>-20</v>
      </c>
      <c r="G481" s="13">
        <v>750</v>
      </c>
      <c r="H481" s="5">
        <f t="shared" si="9"/>
        <v>-15000</v>
      </c>
    </row>
    <row r="482" spans="1:8" ht="12.6" hidden="1" customHeight="1" x14ac:dyDescent="0.25">
      <c r="A482" s="27">
        <v>45803</v>
      </c>
      <c r="B482" s="3" t="s">
        <v>134</v>
      </c>
      <c r="C482" s="4" t="s">
        <v>30</v>
      </c>
      <c r="D482" s="32" t="s">
        <v>9</v>
      </c>
      <c r="F482" s="2">
        <v>-5</v>
      </c>
      <c r="G482" s="13">
        <v>700</v>
      </c>
      <c r="H482" s="5">
        <f t="shared" si="9"/>
        <v>-3500</v>
      </c>
    </row>
    <row r="483" spans="1:8" ht="12.6" hidden="1" customHeight="1" x14ac:dyDescent="0.25">
      <c r="A483" s="27">
        <v>45803</v>
      </c>
      <c r="B483" s="3" t="s">
        <v>135</v>
      </c>
      <c r="C483" s="4" t="s">
        <v>76</v>
      </c>
      <c r="D483" s="34" t="s">
        <v>74</v>
      </c>
      <c r="E483" s="14"/>
      <c r="F483" s="11">
        <v>26.2</v>
      </c>
      <c r="G483" s="11">
        <v>750</v>
      </c>
      <c r="H483" s="5">
        <f t="shared" si="9"/>
        <v>19650</v>
      </c>
    </row>
    <row r="484" spans="1:8" ht="12.6" hidden="1" customHeight="1" x14ac:dyDescent="0.25">
      <c r="A484" s="27">
        <v>45803</v>
      </c>
      <c r="B484" s="3" t="s">
        <v>135</v>
      </c>
      <c r="C484" s="4" t="s">
        <v>76</v>
      </c>
      <c r="D484" s="32" t="s">
        <v>84</v>
      </c>
      <c r="F484" s="2">
        <v>20</v>
      </c>
      <c r="G484" s="13">
        <v>700</v>
      </c>
      <c r="H484" s="5">
        <f t="shared" si="9"/>
        <v>14000</v>
      </c>
    </row>
    <row r="485" spans="1:8" ht="12.6" customHeight="1" x14ac:dyDescent="0.25">
      <c r="A485" s="27">
        <v>45805</v>
      </c>
      <c r="B485" s="3" t="s">
        <v>136</v>
      </c>
      <c r="C485" s="4" t="s">
        <v>30</v>
      </c>
      <c r="D485" s="4" t="s">
        <v>0</v>
      </c>
      <c r="F485" s="2">
        <v>-3.5</v>
      </c>
      <c r="G485" s="33">
        <v>2000</v>
      </c>
      <c r="H485" s="5">
        <f t="shared" si="9"/>
        <v>-7000</v>
      </c>
    </row>
    <row r="486" spans="1:8" ht="12.6" hidden="1" customHeight="1" x14ac:dyDescent="0.25">
      <c r="A486" s="27">
        <v>45805</v>
      </c>
      <c r="B486" s="3" t="s">
        <v>136</v>
      </c>
      <c r="C486" s="4" t="s">
        <v>30</v>
      </c>
      <c r="D486" s="29" t="s">
        <v>15</v>
      </c>
      <c r="E486" s="30"/>
      <c r="F486" s="31">
        <v>-30</v>
      </c>
      <c r="G486" s="31">
        <v>650</v>
      </c>
      <c r="H486" s="5">
        <f t="shared" si="9"/>
        <v>-19500</v>
      </c>
    </row>
    <row r="487" spans="1:8" ht="11.25" hidden="1" customHeight="1" x14ac:dyDescent="0.25">
      <c r="A487" s="27">
        <v>45805</v>
      </c>
      <c r="B487" s="3" t="s">
        <v>136</v>
      </c>
      <c r="C487" s="4" t="s">
        <v>30</v>
      </c>
      <c r="D487" s="32" t="s">
        <v>15</v>
      </c>
      <c r="F487" s="2">
        <v>-10</v>
      </c>
      <c r="G487" s="13">
        <v>470</v>
      </c>
      <c r="H487" s="5">
        <f t="shared" si="9"/>
        <v>-4700</v>
      </c>
    </row>
    <row r="488" spans="1:8" ht="12.6" hidden="1" customHeight="1" x14ac:dyDescent="0.25">
      <c r="A488" s="27">
        <v>45807</v>
      </c>
      <c r="B488" s="3" t="s">
        <v>137</v>
      </c>
      <c r="C488" s="4" t="s">
        <v>30</v>
      </c>
      <c r="D488" s="9" t="s">
        <v>15</v>
      </c>
      <c r="E488" s="12"/>
      <c r="F488" s="8">
        <v>-30</v>
      </c>
      <c r="G488" s="11">
        <v>670</v>
      </c>
      <c r="H488" s="5">
        <f t="shared" si="9"/>
        <v>-20100</v>
      </c>
    </row>
    <row r="489" spans="1:8" ht="12.6" hidden="1" customHeight="1" x14ac:dyDescent="0.25">
      <c r="A489" s="27">
        <v>45808</v>
      </c>
      <c r="B489" s="3" t="s">
        <v>138</v>
      </c>
      <c r="C489" s="4" t="s">
        <v>30</v>
      </c>
      <c r="D489" s="9" t="s">
        <v>15</v>
      </c>
      <c r="F489" s="2">
        <v>-30</v>
      </c>
      <c r="G489" s="13">
        <v>600</v>
      </c>
      <c r="H489" s="5">
        <f t="shared" si="9"/>
        <v>-18000</v>
      </c>
    </row>
    <row r="490" spans="1:8" ht="12.6" hidden="1" customHeight="1" x14ac:dyDescent="0.25">
      <c r="A490" s="27">
        <v>45808</v>
      </c>
      <c r="B490" s="3" t="s">
        <v>138</v>
      </c>
      <c r="C490" s="4" t="s">
        <v>30</v>
      </c>
      <c r="D490" s="32" t="s">
        <v>5</v>
      </c>
      <c r="F490" s="2">
        <v>-1.3</v>
      </c>
      <c r="G490" s="13">
        <v>1400</v>
      </c>
      <c r="H490" s="5">
        <f t="shared" si="9"/>
        <v>-1820</v>
      </c>
    </row>
    <row r="491" spans="1:8" ht="12.6" hidden="1" customHeight="1" x14ac:dyDescent="0.25">
      <c r="A491" s="27">
        <v>45808</v>
      </c>
      <c r="B491" s="3" t="s">
        <v>138</v>
      </c>
      <c r="C491" s="4" t="s">
        <v>30</v>
      </c>
      <c r="D491" s="32" t="s">
        <v>2</v>
      </c>
      <c r="F491" s="11">
        <v>-2.2999999999999998</v>
      </c>
      <c r="G491" s="11">
        <v>1100</v>
      </c>
      <c r="H491" s="5">
        <f t="shared" si="9"/>
        <v>-2530</v>
      </c>
    </row>
    <row r="492" spans="1:8" ht="12.6" hidden="1" customHeight="1" x14ac:dyDescent="0.25">
      <c r="A492" s="27">
        <v>45808</v>
      </c>
      <c r="B492" s="3" t="s">
        <v>138</v>
      </c>
      <c r="C492" s="4" t="s">
        <v>30</v>
      </c>
      <c r="D492" s="32" t="s">
        <v>47</v>
      </c>
      <c r="F492" s="11">
        <v>-5.2</v>
      </c>
      <c r="G492" s="11">
        <v>1700</v>
      </c>
      <c r="H492" s="5">
        <f t="shared" si="9"/>
        <v>-8840</v>
      </c>
    </row>
    <row r="493" spans="1:8" ht="12.6" hidden="1" customHeight="1" x14ac:dyDescent="0.25">
      <c r="A493" s="27">
        <v>45808</v>
      </c>
      <c r="B493" s="3" t="s">
        <v>138</v>
      </c>
      <c r="C493" s="4" t="s">
        <v>30</v>
      </c>
      <c r="D493" s="32" t="s">
        <v>15</v>
      </c>
      <c r="F493" s="11">
        <v>-10</v>
      </c>
      <c r="G493" s="11">
        <v>350</v>
      </c>
      <c r="H493" s="5">
        <f t="shared" si="9"/>
        <v>-3500</v>
      </c>
    </row>
    <row r="494" spans="1:8" ht="12.6" hidden="1" customHeight="1" x14ac:dyDescent="0.25">
      <c r="A494" s="27">
        <v>45810</v>
      </c>
      <c r="B494" s="3" t="s">
        <v>139</v>
      </c>
      <c r="C494" s="4" t="s">
        <v>30</v>
      </c>
      <c r="D494" s="4" t="s">
        <v>15</v>
      </c>
      <c r="F494" s="2">
        <v>-20</v>
      </c>
      <c r="G494" s="13">
        <v>600</v>
      </c>
      <c r="H494" s="5">
        <f t="shared" si="9"/>
        <v>-12000</v>
      </c>
    </row>
    <row r="495" spans="1:8" ht="12.6" hidden="1" customHeight="1" x14ac:dyDescent="0.25">
      <c r="A495" s="27">
        <v>45811</v>
      </c>
      <c r="B495" s="3" t="s">
        <v>140</v>
      </c>
      <c r="C495" s="4" t="s">
        <v>30</v>
      </c>
      <c r="D495" s="29" t="s">
        <v>15</v>
      </c>
      <c r="E495" s="30"/>
      <c r="F495" s="31">
        <v>-30</v>
      </c>
      <c r="G495" s="31">
        <v>600</v>
      </c>
      <c r="H495" s="5">
        <f t="shared" si="9"/>
        <v>-18000</v>
      </c>
    </row>
    <row r="496" spans="1:8" ht="12.6" hidden="1" customHeight="1" x14ac:dyDescent="0.25">
      <c r="A496" s="27">
        <v>45811</v>
      </c>
      <c r="B496" s="3" t="s">
        <v>140</v>
      </c>
      <c r="C496" s="4" t="s">
        <v>30</v>
      </c>
      <c r="D496" s="32" t="s">
        <v>15</v>
      </c>
      <c r="F496" s="2">
        <v>-20</v>
      </c>
      <c r="G496" s="13">
        <v>470</v>
      </c>
      <c r="H496" s="5">
        <f t="shared" si="9"/>
        <v>-9400</v>
      </c>
    </row>
    <row r="497" spans="1:8" ht="12.6" hidden="1" customHeight="1" x14ac:dyDescent="0.25">
      <c r="A497" s="27">
        <v>45811</v>
      </c>
      <c r="B497" s="3" t="s">
        <v>140</v>
      </c>
      <c r="C497" s="4" t="s">
        <v>30</v>
      </c>
      <c r="D497" s="4" t="s">
        <v>2</v>
      </c>
      <c r="F497" s="2">
        <v>-3</v>
      </c>
      <c r="G497" s="13">
        <v>1100</v>
      </c>
      <c r="H497" s="5">
        <f t="shared" si="9"/>
        <v>-3300</v>
      </c>
    </row>
    <row r="498" spans="1:8" ht="12" hidden="1" customHeight="1" x14ac:dyDescent="0.25">
      <c r="A498" s="27">
        <v>45811</v>
      </c>
      <c r="B498" s="3" t="s">
        <v>140</v>
      </c>
      <c r="C498" s="4" t="s">
        <v>30</v>
      </c>
      <c r="D498" s="34" t="s">
        <v>8</v>
      </c>
      <c r="E498" s="14"/>
      <c r="F498" s="8">
        <v>-1.2</v>
      </c>
      <c r="G498" s="11">
        <v>1000</v>
      </c>
      <c r="H498" s="5">
        <f t="shared" si="9"/>
        <v>-1200</v>
      </c>
    </row>
    <row r="499" spans="1:8" x14ac:dyDescent="0.25">
      <c r="A499" s="27">
        <v>45811</v>
      </c>
      <c r="B499" s="3" t="s">
        <v>140</v>
      </c>
      <c r="C499" s="4" t="s">
        <v>30</v>
      </c>
      <c r="D499" s="6" t="s">
        <v>0</v>
      </c>
      <c r="E499" s="14"/>
      <c r="F499" s="8">
        <v>-1</v>
      </c>
      <c r="G499" s="22">
        <v>2000</v>
      </c>
      <c r="H499" s="5">
        <f t="shared" si="9"/>
        <v>-2000</v>
      </c>
    </row>
    <row r="500" spans="1:8" ht="12" hidden="1" customHeight="1" x14ac:dyDescent="0.25">
      <c r="A500" s="27">
        <v>45811</v>
      </c>
      <c r="B500" s="3" t="s">
        <v>140</v>
      </c>
      <c r="C500" s="4" t="s">
        <v>30</v>
      </c>
      <c r="D500" s="32" t="s">
        <v>74</v>
      </c>
      <c r="F500" s="2">
        <v>-29.7</v>
      </c>
      <c r="G500" s="13">
        <v>850</v>
      </c>
      <c r="H500" s="5">
        <f t="shared" si="9"/>
        <v>-25245</v>
      </c>
    </row>
    <row r="501" spans="1:8" ht="12" hidden="1" customHeight="1" x14ac:dyDescent="0.25">
      <c r="A501" s="27">
        <v>45811</v>
      </c>
      <c r="B501" s="3" t="s">
        <v>141</v>
      </c>
      <c r="C501" s="4" t="s">
        <v>76</v>
      </c>
      <c r="D501" s="32" t="s">
        <v>74</v>
      </c>
      <c r="F501" s="7">
        <v>29.7</v>
      </c>
      <c r="G501" s="13">
        <v>750</v>
      </c>
      <c r="H501" s="5">
        <f t="shared" si="9"/>
        <v>22275</v>
      </c>
    </row>
    <row r="502" spans="1:8" ht="12" hidden="1" customHeight="1" x14ac:dyDescent="0.25">
      <c r="A502" s="27">
        <v>45812</v>
      </c>
      <c r="B502" s="3" t="s">
        <v>142</v>
      </c>
      <c r="C502" s="4" t="s">
        <v>30</v>
      </c>
      <c r="D502" s="9" t="s">
        <v>47</v>
      </c>
      <c r="E502" s="12"/>
      <c r="F502" s="8">
        <v>-3</v>
      </c>
      <c r="G502" s="11">
        <v>1200</v>
      </c>
      <c r="H502" s="5">
        <f t="shared" si="9"/>
        <v>-3600</v>
      </c>
    </row>
    <row r="503" spans="1:8" x14ac:dyDescent="0.25">
      <c r="A503" s="27">
        <v>45812</v>
      </c>
      <c r="B503" s="3" t="s">
        <v>142</v>
      </c>
      <c r="C503" s="4" t="s">
        <v>30</v>
      </c>
      <c r="D503" s="34" t="s">
        <v>0</v>
      </c>
      <c r="E503" s="14"/>
      <c r="F503" s="8">
        <v>-2</v>
      </c>
      <c r="G503" s="22">
        <v>2700</v>
      </c>
      <c r="H503" s="5">
        <f t="shared" si="9"/>
        <v>-5400</v>
      </c>
    </row>
    <row r="504" spans="1:8" ht="12" hidden="1" customHeight="1" x14ac:dyDescent="0.25">
      <c r="A504" s="27">
        <v>45812</v>
      </c>
      <c r="B504" s="3" t="s">
        <v>142</v>
      </c>
      <c r="C504" s="4" t="s">
        <v>30</v>
      </c>
      <c r="D504" s="35" t="s">
        <v>15</v>
      </c>
      <c r="F504" s="8">
        <v>-30</v>
      </c>
      <c r="G504" s="13">
        <v>600</v>
      </c>
      <c r="H504" s="5">
        <f t="shared" si="9"/>
        <v>-18000</v>
      </c>
    </row>
    <row r="505" spans="1:8" ht="12" hidden="1" customHeight="1" x14ac:dyDescent="0.25">
      <c r="A505" s="27">
        <v>45813</v>
      </c>
      <c r="B505" s="3" t="s">
        <v>143</v>
      </c>
      <c r="C505" s="4" t="s">
        <v>30</v>
      </c>
      <c r="D505" s="32" t="s">
        <v>47</v>
      </c>
      <c r="F505" s="2">
        <v>-2.2999999999999998</v>
      </c>
      <c r="G505" s="13">
        <v>1400</v>
      </c>
      <c r="H505" s="5">
        <f t="shared" si="9"/>
        <v>-3219.9999999999995</v>
      </c>
    </row>
    <row r="506" spans="1:8" x14ac:dyDescent="0.25">
      <c r="A506" s="27">
        <v>45813</v>
      </c>
      <c r="B506" s="3" t="s">
        <v>143</v>
      </c>
      <c r="C506" s="4" t="s">
        <v>30</v>
      </c>
      <c r="D506" s="32" t="s">
        <v>0</v>
      </c>
      <c r="F506" s="2">
        <v>-3</v>
      </c>
      <c r="G506" s="33">
        <v>1900</v>
      </c>
      <c r="H506" s="5">
        <f t="shared" si="9"/>
        <v>-5700</v>
      </c>
    </row>
    <row r="507" spans="1:8" ht="12" hidden="1" customHeight="1" x14ac:dyDescent="0.25">
      <c r="A507" s="27">
        <v>45813</v>
      </c>
      <c r="B507" s="3" t="s">
        <v>143</v>
      </c>
      <c r="C507" s="4" t="s">
        <v>30</v>
      </c>
      <c r="D507" s="32" t="s">
        <v>15</v>
      </c>
      <c r="F507" s="2">
        <v>-30</v>
      </c>
      <c r="G507" s="13">
        <v>650</v>
      </c>
      <c r="H507" s="5">
        <f t="shared" si="9"/>
        <v>-19500</v>
      </c>
    </row>
    <row r="508" spans="1:8" ht="12" hidden="1" customHeight="1" x14ac:dyDescent="0.25">
      <c r="A508" s="27">
        <v>45813</v>
      </c>
      <c r="B508" s="3" t="s">
        <v>143</v>
      </c>
      <c r="C508" s="4" t="s">
        <v>30</v>
      </c>
      <c r="D508" s="32" t="s">
        <v>5</v>
      </c>
      <c r="F508" s="2">
        <v>-0.9</v>
      </c>
      <c r="G508" s="13">
        <v>2400</v>
      </c>
      <c r="H508" s="5">
        <f t="shared" si="9"/>
        <v>-2160</v>
      </c>
    </row>
    <row r="509" spans="1:8" ht="12" hidden="1" customHeight="1" x14ac:dyDescent="0.25">
      <c r="A509" s="27">
        <v>45813</v>
      </c>
      <c r="B509" s="3" t="s">
        <v>143</v>
      </c>
      <c r="C509" s="4" t="s">
        <v>30</v>
      </c>
      <c r="D509" s="32" t="s">
        <v>2</v>
      </c>
      <c r="F509" s="17">
        <v>-3</v>
      </c>
      <c r="G509" s="11">
        <v>1200</v>
      </c>
      <c r="H509" s="5">
        <f t="shared" si="9"/>
        <v>-3600</v>
      </c>
    </row>
    <row r="510" spans="1:8" x14ac:dyDescent="0.25">
      <c r="A510" s="27">
        <v>45819</v>
      </c>
      <c r="B510" s="3" t="s">
        <v>144</v>
      </c>
      <c r="C510" s="4" t="s">
        <v>30</v>
      </c>
      <c r="D510" s="32" t="s">
        <v>0</v>
      </c>
      <c r="F510" s="2">
        <v>-4</v>
      </c>
      <c r="G510" s="33">
        <v>2800</v>
      </c>
      <c r="H510" s="5">
        <f t="shared" si="9"/>
        <v>-11200</v>
      </c>
    </row>
    <row r="511" spans="1:8" ht="12" hidden="1" customHeight="1" x14ac:dyDescent="0.25">
      <c r="A511" s="27">
        <v>45819</v>
      </c>
      <c r="B511" s="3" t="s">
        <v>144</v>
      </c>
      <c r="C511" s="4" t="s">
        <v>30</v>
      </c>
      <c r="D511" s="34" t="s">
        <v>5</v>
      </c>
      <c r="E511" s="14"/>
      <c r="F511" s="11">
        <v>-1.2</v>
      </c>
      <c r="G511" s="34">
        <v>3200</v>
      </c>
      <c r="H511" s="5">
        <f t="shared" si="9"/>
        <v>-3840</v>
      </c>
    </row>
    <row r="512" spans="1:8" ht="12" hidden="1" customHeight="1" x14ac:dyDescent="0.25">
      <c r="A512" s="27">
        <v>45819</v>
      </c>
      <c r="B512" s="3" t="s">
        <v>144</v>
      </c>
      <c r="C512" s="4" t="s">
        <v>30</v>
      </c>
      <c r="D512" s="32" t="s">
        <v>47</v>
      </c>
      <c r="F512" s="7">
        <v>-2.4</v>
      </c>
      <c r="G512" s="13">
        <v>2000</v>
      </c>
      <c r="H512" s="5">
        <f t="shared" si="9"/>
        <v>-4800</v>
      </c>
    </row>
    <row r="513" spans="1:8" ht="12" hidden="1" customHeight="1" x14ac:dyDescent="0.25">
      <c r="A513" s="27">
        <v>45819</v>
      </c>
      <c r="B513" s="3" t="s">
        <v>144</v>
      </c>
      <c r="C513" s="4" t="s">
        <v>30</v>
      </c>
      <c r="D513" s="9" t="s">
        <v>8</v>
      </c>
      <c r="E513" s="12"/>
      <c r="F513" s="8">
        <v>-2.2000000000000002</v>
      </c>
      <c r="G513" s="11">
        <v>1200</v>
      </c>
      <c r="H513" s="5">
        <f t="shared" si="9"/>
        <v>-2640</v>
      </c>
    </row>
    <row r="514" spans="1:8" ht="12" hidden="1" customHeight="1" x14ac:dyDescent="0.25">
      <c r="A514" s="27">
        <v>45819</v>
      </c>
      <c r="B514" s="3" t="s">
        <v>144</v>
      </c>
      <c r="C514" s="4" t="s">
        <v>30</v>
      </c>
      <c r="D514" s="32" t="s">
        <v>15</v>
      </c>
      <c r="F514" s="2">
        <v>-20</v>
      </c>
      <c r="G514" s="13">
        <v>650</v>
      </c>
      <c r="H514" s="5">
        <f t="shared" ref="H514:H562" si="10">(E514*G514)+(F514*G514)</f>
        <v>-13000</v>
      </c>
    </row>
    <row r="515" spans="1:8" ht="12" hidden="1" customHeight="1" x14ac:dyDescent="0.25">
      <c r="A515" s="27">
        <v>45819</v>
      </c>
      <c r="B515" s="3" t="s">
        <v>144</v>
      </c>
      <c r="C515" s="4" t="s">
        <v>30</v>
      </c>
      <c r="D515" s="32" t="s">
        <v>2</v>
      </c>
      <c r="F515" s="2">
        <v>-3</v>
      </c>
      <c r="G515" s="13">
        <v>1000</v>
      </c>
      <c r="H515" s="5">
        <f t="shared" si="10"/>
        <v>-3000</v>
      </c>
    </row>
    <row r="516" spans="1:8" ht="12" hidden="1" customHeight="1" x14ac:dyDescent="0.25">
      <c r="A516" s="27">
        <v>45820</v>
      </c>
      <c r="B516" s="3" t="s">
        <v>145</v>
      </c>
      <c r="C516" s="4" t="s">
        <v>30</v>
      </c>
      <c r="D516" s="32" t="s">
        <v>15</v>
      </c>
      <c r="F516" s="2">
        <v>-30</v>
      </c>
      <c r="G516" s="13">
        <v>650</v>
      </c>
      <c r="H516" s="5">
        <f t="shared" si="10"/>
        <v>-19500</v>
      </c>
    </row>
    <row r="517" spans="1:8" ht="12" hidden="1" customHeight="1" x14ac:dyDescent="0.25">
      <c r="A517" s="27">
        <v>45820</v>
      </c>
      <c r="B517" s="3" t="s">
        <v>145</v>
      </c>
      <c r="C517" s="4" t="s">
        <v>30</v>
      </c>
      <c r="D517" s="32" t="s">
        <v>9</v>
      </c>
      <c r="F517" s="2">
        <v>-120</v>
      </c>
      <c r="G517" s="13">
        <v>1200</v>
      </c>
      <c r="H517" s="5">
        <f t="shared" si="10"/>
        <v>-144000</v>
      </c>
    </row>
    <row r="518" spans="1:8" ht="12" hidden="1" customHeight="1" x14ac:dyDescent="0.25">
      <c r="A518" s="27">
        <v>45821</v>
      </c>
      <c r="B518" s="3" t="s">
        <v>146</v>
      </c>
      <c r="C518" s="4" t="s">
        <v>30</v>
      </c>
      <c r="D518" s="32" t="s">
        <v>2</v>
      </c>
      <c r="F518" s="2">
        <v>-4</v>
      </c>
      <c r="G518" s="13">
        <v>1000</v>
      </c>
      <c r="H518" s="5">
        <f t="shared" si="10"/>
        <v>-4000</v>
      </c>
    </row>
    <row r="519" spans="1:8" ht="12" hidden="1" customHeight="1" x14ac:dyDescent="0.25">
      <c r="A519" s="27">
        <v>45821</v>
      </c>
      <c r="B519" s="3" t="s">
        <v>146</v>
      </c>
      <c r="C519" s="4" t="s">
        <v>30</v>
      </c>
      <c r="D519" s="32" t="s">
        <v>8</v>
      </c>
      <c r="F519" s="2">
        <v>-2</v>
      </c>
      <c r="G519" s="13">
        <v>1000</v>
      </c>
      <c r="H519" s="5">
        <f t="shared" si="10"/>
        <v>-2000</v>
      </c>
    </row>
    <row r="520" spans="1:8" ht="12" hidden="1" customHeight="1" x14ac:dyDescent="0.25">
      <c r="A520" s="27">
        <v>45821</v>
      </c>
      <c r="B520" s="3" t="s">
        <v>146</v>
      </c>
      <c r="C520" s="4" t="s">
        <v>30</v>
      </c>
      <c r="D520" s="32" t="s">
        <v>15</v>
      </c>
      <c r="F520" s="2">
        <v>-30</v>
      </c>
      <c r="G520" s="13">
        <v>650</v>
      </c>
      <c r="H520" s="5">
        <f t="shared" si="10"/>
        <v>-19500</v>
      </c>
    </row>
    <row r="521" spans="1:8" ht="12" hidden="1" customHeight="1" x14ac:dyDescent="0.25">
      <c r="A521" s="27">
        <v>45821</v>
      </c>
      <c r="B521" s="3" t="s">
        <v>146</v>
      </c>
      <c r="C521" s="4" t="s">
        <v>30</v>
      </c>
      <c r="D521" s="9" t="s">
        <v>9</v>
      </c>
      <c r="E521" s="14"/>
      <c r="F521" s="31">
        <v>-768</v>
      </c>
      <c r="G521" s="11">
        <v>1200</v>
      </c>
      <c r="H521" s="5">
        <f t="shared" si="10"/>
        <v>-921600</v>
      </c>
    </row>
    <row r="522" spans="1:8" ht="12" hidden="1" customHeight="1" x14ac:dyDescent="0.25">
      <c r="A522" s="27">
        <v>45821</v>
      </c>
      <c r="B522" s="3" t="s">
        <v>146</v>
      </c>
      <c r="C522" s="4" t="s">
        <v>30</v>
      </c>
      <c r="D522" s="9" t="s">
        <v>147</v>
      </c>
      <c r="F522" s="2">
        <v>-1</v>
      </c>
      <c r="G522" s="11">
        <v>4150</v>
      </c>
      <c r="H522" s="5">
        <f t="shared" si="10"/>
        <v>-4150</v>
      </c>
    </row>
    <row r="523" spans="1:8" ht="12" hidden="1" customHeight="1" x14ac:dyDescent="0.25">
      <c r="A523" s="27">
        <v>45821</v>
      </c>
      <c r="B523" s="3" t="s">
        <v>148</v>
      </c>
      <c r="C523" s="4" t="s">
        <v>76</v>
      </c>
      <c r="D523" s="32" t="s">
        <v>147</v>
      </c>
      <c r="F523" s="2">
        <v>1</v>
      </c>
      <c r="G523" s="13">
        <v>4150</v>
      </c>
      <c r="H523" s="5">
        <f t="shared" si="10"/>
        <v>4150</v>
      </c>
    </row>
    <row r="524" spans="1:8" ht="12" hidden="1" customHeight="1" x14ac:dyDescent="0.25">
      <c r="A524" s="27">
        <v>45822</v>
      </c>
      <c r="B524" s="3" t="s">
        <v>149</v>
      </c>
      <c r="C524" s="4" t="s">
        <v>30</v>
      </c>
      <c r="D524" s="34" t="s">
        <v>2</v>
      </c>
      <c r="E524" s="36"/>
      <c r="F524" s="11">
        <v>-4</v>
      </c>
      <c r="G524" s="11">
        <v>1000</v>
      </c>
      <c r="H524" s="5">
        <f t="shared" si="10"/>
        <v>-4000</v>
      </c>
    </row>
    <row r="525" spans="1:8" ht="12" hidden="1" customHeight="1" x14ac:dyDescent="0.25">
      <c r="A525" s="27">
        <v>45822</v>
      </c>
      <c r="B525" s="3" t="s">
        <v>149</v>
      </c>
      <c r="C525" s="4" t="s">
        <v>30</v>
      </c>
      <c r="D525" s="32" t="s">
        <v>15</v>
      </c>
      <c r="F525" s="2">
        <v>-20</v>
      </c>
      <c r="G525" s="13">
        <v>650</v>
      </c>
      <c r="H525" s="5">
        <f t="shared" si="10"/>
        <v>-13000</v>
      </c>
    </row>
    <row r="526" spans="1:8" ht="12" hidden="1" customHeight="1" x14ac:dyDescent="0.25">
      <c r="A526" s="27">
        <v>45822</v>
      </c>
      <c r="B526" s="3" t="s">
        <v>149</v>
      </c>
      <c r="C526" s="4" t="s">
        <v>30</v>
      </c>
      <c r="D526" s="32" t="s">
        <v>15</v>
      </c>
      <c r="F526" s="2">
        <v>-30</v>
      </c>
      <c r="G526" s="13">
        <v>500</v>
      </c>
      <c r="H526" s="5">
        <f t="shared" si="10"/>
        <v>-15000</v>
      </c>
    </row>
    <row r="527" spans="1:8" ht="12" hidden="1" customHeight="1" x14ac:dyDescent="0.25">
      <c r="A527" s="27">
        <v>45824</v>
      </c>
      <c r="B527" s="3" t="s">
        <v>150</v>
      </c>
      <c r="C527" s="4" t="s">
        <v>76</v>
      </c>
      <c r="D527" s="9" t="s">
        <v>74</v>
      </c>
      <c r="E527" s="12"/>
      <c r="F527" s="8">
        <v>40.6</v>
      </c>
      <c r="G527" s="11">
        <v>750</v>
      </c>
      <c r="H527" s="5">
        <f t="shared" si="10"/>
        <v>30450</v>
      </c>
    </row>
    <row r="528" spans="1:8" ht="12" hidden="1" customHeight="1" x14ac:dyDescent="0.25">
      <c r="A528" s="27">
        <v>45824</v>
      </c>
      <c r="B528" s="3" t="s">
        <v>151</v>
      </c>
      <c r="C528" s="4" t="s">
        <v>30</v>
      </c>
      <c r="D528" s="34" t="s">
        <v>74</v>
      </c>
      <c r="E528" s="14"/>
      <c r="F528" s="8">
        <v>-40.6</v>
      </c>
      <c r="G528" s="11">
        <v>850</v>
      </c>
      <c r="H528" s="5">
        <f t="shared" si="10"/>
        <v>-34510</v>
      </c>
    </row>
    <row r="529" spans="1:8" ht="12" hidden="1" customHeight="1" x14ac:dyDescent="0.25">
      <c r="A529" s="27">
        <v>45825</v>
      </c>
      <c r="B529" s="3" t="s">
        <v>152</v>
      </c>
      <c r="C529" s="4" t="s">
        <v>30</v>
      </c>
      <c r="D529" s="34" t="s">
        <v>15</v>
      </c>
      <c r="E529" s="14"/>
      <c r="F529" s="8">
        <v>-20</v>
      </c>
      <c r="G529" s="11">
        <v>500</v>
      </c>
      <c r="H529" s="5">
        <f t="shared" si="10"/>
        <v>-10000</v>
      </c>
    </row>
    <row r="530" spans="1:8" ht="12" hidden="1" customHeight="1" x14ac:dyDescent="0.25">
      <c r="A530" s="27">
        <v>45825</v>
      </c>
      <c r="B530" s="3" t="s">
        <v>152</v>
      </c>
      <c r="C530" s="4" t="s">
        <v>30</v>
      </c>
      <c r="D530" s="32" t="s">
        <v>15</v>
      </c>
      <c r="E530" s="3"/>
      <c r="F530" s="2">
        <v>-20</v>
      </c>
      <c r="G530" s="13">
        <v>550</v>
      </c>
      <c r="H530" s="5">
        <f t="shared" si="10"/>
        <v>-11000</v>
      </c>
    </row>
    <row r="531" spans="1:8" ht="12" hidden="1" customHeight="1" x14ac:dyDescent="0.25">
      <c r="A531" s="27">
        <v>45825</v>
      </c>
      <c r="B531" s="3" t="s">
        <v>152</v>
      </c>
      <c r="C531" s="4" t="s">
        <v>30</v>
      </c>
      <c r="D531" s="34" t="s">
        <v>15</v>
      </c>
      <c r="E531" s="14"/>
      <c r="F531" s="8">
        <v>-20</v>
      </c>
      <c r="G531" s="11">
        <v>600</v>
      </c>
      <c r="H531" s="5">
        <f t="shared" si="10"/>
        <v>-12000</v>
      </c>
    </row>
    <row r="532" spans="1:8" ht="12" hidden="1" customHeight="1" x14ac:dyDescent="0.25">
      <c r="A532" s="27">
        <v>45825</v>
      </c>
      <c r="B532" s="3" t="s">
        <v>152</v>
      </c>
      <c r="C532" s="4" t="s">
        <v>30</v>
      </c>
      <c r="D532" s="34" t="s">
        <v>5</v>
      </c>
      <c r="E532" s="14"/>
      <c r="F532" s="8">
        <v>-0.5</v>
      </c>
      <c r="G532" s="11">
        <v>1500</v>
      </c>
      <c r="H532" s="5">
        <f t="shared" si="10"/>
        <v>-750</v>
      </c>
    </row>
    <row r="533" spans="1:8" ht="12" hidden="1" customHeight="1" x14ac:dyDescent="0.25">
      <c r="A533" s="27">
        <v>45825</v>
      </c>
      <c r="B533" s="3" t="s">
        <v>152</v>
      </c>
      <c r="C533" s="4" t="s">
        <v>30</v>
      </c>
      <c r="D533" s="9" t="s">
        <v>5</v>
      </c>
      <c r="E533" s="12"/>
      <c r="F533" s="8">
        <v>-1.2</v>
      </c>
      <c r="G533" s="11">
        <v>3000</v>
      </c>
      <c r="H533" s="5">
        <f t="shared" si="10"/>
        <v>-3600</v>
      </c>
    </row>
    <row r="534" spans="1:8" x14ac:dyDescent="0.25">
      <c r="A534" s="27">
        <v>45825</v>
      </c>
      <c r="B534" s="3" t="s">
        <v>152</v>
      </c>
      <c r="C534" s="4" t="s">
        <v>30</v>
      </c>
      <c r="D534" s="9" t="s">
        <v>0</v>
      </c>
      <c r="E534" s="12"/>
      <c r="F534" s="8">
        <v>-3.7</v>
      </c>
      <c r="G534" s="22">
        <v>2400</v>
      </c>
      <c r="H534" s="5">
        <f t="shared" si="10"/>
        <v>-8880</v>
      </c>
    </row>
    <row r="535" spans="1:8" ht="12" hidden="1" customHeight="1" x14ac:dyDescent="0.25">
      <c r="A535" s="27">
        <v>45825</v>
      </c>
      <c r="B535" s="3" t="s">
        <v>152</v>
      </c>
      <c r="C535" s="4" t="s">
        <v>30</v>
      </c>
      <c r="D535" s="32" t="s">
        <v>8</v>
      </c>
      <c r="F535" s="2">
        <v>-2</v>
      </c>
      <c r="G535" s="13">
        <v>1000</v>
      </c>
      <c r="H535" s="5">
        <f t="shared" si="10"/>
        <v>-2000</v>
      </c>
    </row>
    <row r="536" spans="1:8" ht="12" hidden="1" customHeight="1" x14ac:dyDescent="0.25">
      <c r="A536" s="27">
        <v>45826</v>
      </c>
      <c r="B536" s="3" t="s">
        <v>153</v>
      </c>
      <c r="C536" s="4" t="s">
        <v>30</v>
      </c>
      <c r="D536" s="29" t="s">
        <v>15</v>
      </c>
      <c r="E536" s="30"/>
      <c r="F536" s="31">
        <v>-40</v>
      </c>
      <c r="G536" s="31">
        <v>600</v>
      </c>
      <c r="H536" s="5">
        <f t="shared" si="10"/>
        <v>-24000</v>
      </c>
    </row>
    <row r="537" spans="1:8" ht="12" hidden="1" customHeight="1" x14ac:dyDescent="0.25">
      <c r="A537" s="27">
        <v>45826</v>
      </c>
      <c r="B537" s="3" t="s">
        <v>153</v>
      </c>
      <c r="C537" s="4" t="s">
        <v>30</v>
      </c>
      <c r="D537" s="29" t="s">
        <v>2</v>
      </c>
      <c r="F537" s="2">
        <v>-6</v>
      </c>
      <c r="G537" s="13">
        <v>1200</v>
      </c>
      <c r="H537" s="5">
        <f t="shared" si="10"/>
        <v>-7200</v>
      </c>
    </row>
    <row r="538" spans="1:8" ht="12" hidden="1" customHeight="1" x14ac:dyDescent="0.25">
      <c r="A538" s="27">
        <v>45826</v>
      </c>
      <c r="B538" s="3" t="s">
        <v>153</v>
      </c>
      <c r="C538" s="4" t="s">
        <v>30</v>
      </c>
      <c r="D538" s="29" t="s">
        <v>47</v>
      </c>
      <c r="F538" s="2">
        <v>-2</v>
      </c>
      <c r="G538" s="13">
        <v>800</v>
      </c>
      <c r="H538" s="5">
        <f t="shared" si="10"/>
        <v>-1600</v>
      </c>
    </row>
    <row r="539" spans="1:8" ht="12" hidden="1" customHeight="1" x14ac:dyDescent="0.25">
      <c r="A539" s="27">
        <v>45827</v>
      </c>
      <c r="B539" s="3" t="s">
        <v>154</v>
      </c>
      <c r="C539" s="4" t="s">
        <v>30</v>
      </c>
      <c r="D539" s="29" t="s">
        <v>15</v>
      </c>
      <c r="F539" s="2">
        <v>-30</v>
      </c>
      <c r="G539" s="13">
        <v>650</v>
      </c>
      <c r="H539" s="5">
        <f t="shared" si="10"/>
        <v>-19500</v>
      </c>
    </row>
    <row r="540" spans="1:8" ht="12" hidden="1" customHeight="1" x14ac:dyDescent="0.25">
      <c r="A540" s="27">
        <v>45827</v>
      </c>
      <c r="B540" s="3" t="s">
        <v>154</v>
      </c>
      <c r="C540" s="4" t="s">
        <v>30</v>
      </c>
      <c r="D540" s="32" t="s">
        <v>8</v>
      </c>
      <c r="F540" s="2">
        <v>-2</v>
      </c>
      <c r="G540" s="13">
        <v>1400</v>
      </c>
      <c r="H540" s="5">
        <f t="shared" si="10"/>
        <v>-2800</v>
      </c>
    </row>
    <row r="541" spans="1:8" ht="12" hidden="1" customHeight="1" x14ac:dyDescent="0.25">
      <c r="A541" s="27">
        <v>45828</v>
      </c>
      <c r="B541" s="3" t="s">
        <v>155</v>
      </c>
      <c r="C541" s="4" t="s">
        <v>30</v>
      </c>
      <c r="D541" s="32" t="s">
        <v>15</v>
      </c>
      <c r="F541" s="2">
        <v>-30</v>
      </c>
      <c r="G541" s="13">
        <v>650</v>
      </c>
      <c r="H541" s="5">
        <f t="shared" si="10"/>
        <v>-19500</v>
      </c>
    </row>
    <row r="542" spans="1:8" x14ac:dyDescent="0.25">
      <c r="A542" s="27">
        <v>45828</v>
      </c>
      <c r="B542" s="3" t="s">
        <v>155</v>
      </c>
      <c r="C542" s="4" t="s">
        <v>30</v>
      </c>
      <c r="D542" s="32" t="s">
        <v>0</v>
      </c>
      <c r="F542" s="2">
        <v>-2</v>
      </c>
      <c r="G542" s="33">
        <v>2200</v>
      </c>
      <c r="H542" s="5">
        <f t="shared" si="10"/>
        <v>-4400</v>
      </c>
    </row>
    <row r="543" spans="1:8" ht="12" hidden="1" customHeight="1" x14ac:dyDescent="0.25">
      <c r="A543" s="27">
        <v>45829</v>
      </c>
      <c r="B543" s="3" t="s">
        <v>156</v>
      </c>
      <c r="C543" s="4" t="s">
        <v>30</v>
      </c>
      <c r="D543" s="34" t="s">
        <v>15</v>
      </c>
      <c r="E543" s="14"/>
      <c r="F543" s="11">
        <v>-40</v>
      </c>
      <c r="G543" s="34">
        <v>650</v>
      </c>
      <c r="H543" s="5">
        <f t="shared" si="10"/>
        <v>-26000</v>
      </c>
    </row>
    <row r="544" spans="1:8" ht="12" hidden="1" customHeight="1" x14ac:dyDescent="0.25">
      <c r="A544" s="27">
        <v>45829</v>
      </c>
      <c r="B544" s="3" t="s">
        <v>156</v>
      </c>
      <c r="C544" s="4" t="s">
        <v>30</v>
      </c>
      <c r="D544" s="9" t="s">
        <v>2</v>
      </c>
      <c r="E544" s="12"/>
      <c r="F544" s="8">
        <v>-5</v>
      </c>
      <c r="G544" s="11">
        <v>1000</v>
      </c>
      <c r="H544" s="5">
        <f t="shared" si="10"/>
        <v>-5000</v>
      </c>
    </row>
    <row r="545" spans="1:8" ht="12" hidden="1" customHeight="1" x14ac:dyDescent="0.25">
      <c r="A545" s="27">
        <v>45831</v>
      </c>
      <c r="B545" s="3" t="s">
        <v>157</v>
      </c>
      <c r="C545" s="4" t="s">
        <v>30</v>
      </c>
      <c r="D545" s="32" t="s">
        <v>15</v>
      </c>
      <c r="F545" s="2">
        <v>-20</v>
      </c>
      <c r="G545" s="13">
        <v>600</v>
      </c>
      <c r="H545" s="5">
        <f t="shared" si="10"/>
        <v>-12000</v>
      </c>
    </row>
    <row r="546" spans="1:8" ht="12" hidden="1" customHeight="1" x14ac:dyDescent="0.25">
      <c r="A546" s="27">
        <v>45831</v>
      </c>
      <c r="B546" s="3" t="s">
        <v>157</v>
      </c>
      <c r="C546" s="4" t="s">
        <v>30</v>
      </c>
      <c r="D546" s="29" t="s">
        <v>15</v>
      </c>
      <c r="E546" s="30"/>
      <c r="F546" s="31">
        <v>-20</v>
      </c>
      <c r="G546" s="31">
        <v>500</v>
      </c>
      <c r="H546" s="5">
        <f t="shared" si="10"/>
        <v>-10000</v>
      </c>
    </row>
    <row r="547" spans="1:8" ht="12" hidden="1" customHeight="1" x14ac:dyDescent="0.25">
      <c r="A547" s="27">
        <v>45831</v>
      </c>
      <c r="B547" s="3" t="s">
        <v>157</v>
      </c>
      <c r="C547" s="4" t="s">
        <v>30</v>
      </c>
      <c r="D547" s="9" t="s">
        <v>10</v>
      </c>
      <c r="F547" s="2">
        <v>-20</v>
      </c>
      <c r="G547" s="13">
        <v>350</v>
      </c>
      <c r="H547" s="5">
        <f t="shared" si="10"/>
        <v>-7000</v>
      </c>
    </row>
    <row r="548" spans="1:8" ht="12" hidden="1" customHeight="1" x14ac:dyDescent="0.25">
      <c r="A548" s="27">
        <v>45831</v>
      </c>
      <c r="B548" s="3" t="s">
        <v>157</v>
      </c>
      <c r="C548" s="4" t="s">
        <v>30</v>
      </c>
      <c r="D548" s="9" t="s">
        <v>74</v>
      </c>
      <c r="E548" s="12"/>
      <c r="F548" s="8">
        <v>-47.3</v>
      </c>
      <c r="G548" s="11">
        <v>850</v>
      </c>
      <c r="H548" s="5">
        <f t="shared" si="10"/>
        <v>-40205</v>
      </c>
    </row>
    <row r="549" spans="1:8" ht="12" hidden="1" customHeight="1" x14ac:dyDescent="0.25">
      <c r="A549" s="27">
        <v>45831</v>
      </c>
      <c r="B549" s="3" t="s">
        <v>158</v>
      </c>
      <c r="C549" s="4" t="s">
        <v>76</v>
      </c>
      <c r="D549" s="29" t="s">
        <v>74</v>
      </c>
      <c r="F549" s="2">
        <v>47.3</v>
      </c>
      <c r="G549" s="13">
        <v>750</v>
      </c>
      <c r="H549" s="5">
        <f t="shared" si="10"/>
        <v>35475</v>
      </c>
    </row>
    <row r="550" spans="1:8" ht="12" hidden="1" customHeight="1" x14ac:dyDescent="0.25">
      <c r="A550" s="27">
        <v>45832</v>
      </c>
      <c r="B550" s="3" t="s">
        <v>159</v>
      </c>
      <c r="C550" s="4" t="s">
        <v>30</v>
      </c>
      <c r="D550" s="32" t="s">
        <v>15</v>
      </c>
      <c r="F550" s="2">
        <v>-80</v>
      </c>
      <c r="G550" s="13">
        <v>520</v>
      </c>
      <c r="H550" s="5">
        <f t="shared" si="10"/>
        <v>-41600</v>
      </c>
    </row>
    <row r="551" spans="1:8" ht="12" hidden="1" customHeight="1" x14ac:dyDescent="0.25">
      <c r="A551" s="27">
        <v>45832</v>
      </c>
      <c r="B551" s="3" t="s">
        <v>159</v>
      </c>
      <c r="C551" s="4" t="s">
        <v>30</v>
      </c>
      <c r="D551" s="9" t="s">
        <v>15</v>
      </c>
      <c r="F551" s="7">
        <v>-30</v>
      </c>
      <c r="G551" s="13">
        <v>600</v>
      </c>
      <c r="H551" s="5">
        <f t="shared" si="10"/>
        <v>-18000</v>
      </c>
    </row>
    <row r="552" spans="1:8" ht="12" hidden="1" customHeight="1" x14ac:dyDescent="0.25">
      <c r="A552" s="27">
        <v>45832</v>
      </c>
      <c r="B552" s="3" t="s">
        <v>159</v>
      </c>
      <c r="C552" s="4" t="s">
        <v>30</v>
      </c>
      <c r="D552" s="9" t="s">
        <v>2</v>
      </c>
      <c r="E552" s="30"/>
      <c r="F552" s="8">
        <v>-3.8</v>
      </c>
      <c r="G552" s="11">
        <v>1200</v>
      </c>
      <c r="H552" s="5">
        <f t="shared" si="10"/>
        <v>-4560</v>
      </c>
    </row>
    <row r="553" spans="1:8" ht="12" hidden="1" customHeight="1" x14ac:dyDescent="0.25">
      <c r="A553" s="27">
        <v>45832</v>
      </c>
      <c r="B553" s="3" t="s">
        <v>159</v>
      </c>
      <c r="C553" s="4" t="s">
        <v>30</v>
      </c>
      <c r="D553" s="34" t="s">
        <v>47</v>
      </c>
      <c r="E553" s="14"/>
      <c r="F553" s="11">
        <v>-1.9</v>
      </c>
      <c r="G553" s="11">
        <v>1200</v>
      </c>
      <c r="H553" s="5">
        <f t="shared" si="10"/>
        <v>-2280</v>
      </c>
    </row>
    <row r="554" spans="1:8" ht="12" hidden="1" customHeight="1" x14ac:dyDescent="0.25">
      <c r="A554" s="27">
        <v>45832</v>
      </c>
      <c r="B554" s="3" t="s">
        <v>160</v>
      </c>
      <c r="C554" s="4" t="s">
        <v>76</v>
      </c>
      <c r="D554" s="34" t="s">
        <v>15</v>
      </c>
      <c r="E554" s="14"/>
      <c r="F554" s="11">
        <v>500</v>
      </c>
      <c r="G554" s="11">
        <v>350</v>
      </c>
      <c r="H554" s="5">
        <f t="shared" si="10"/>
        <v>175000</v>
      </c>
    </row>
    <row r="555" spans="1:8" ht="12" hidden="1" customHeight="1" x14ac:dyDescent="0.25">
      <c r="A555" s="27">
        <v>45834</v>
      </c>
      <c r="B555" s="3" t="s">
        <v>161</v>
      </c>
      <c r="C555" s="4" t="s">
        <v>30</v>
      </c>
      <c r="D555" s="32" t="s">
        <v>15</v>
      </c>
      <c r="F555" s="7">
        <v>-20</v>
      </c>
      <c r="G555" s="13">
        <v>670</v>
      </c>
      <c r="H555" s="5">
        <f t="shared" si="10"/>
        <v>-13400</v>
      </c>
    </row>
    <row r="556" spans="1:8" ht="12" hidden="1" customHeight="1" x14ac:dyDescent="0.25">
      <c r="A556" s="27">
        <v>45834</v>
      </c>
      <c r="B556" s="3" t="s">
        <v>161</v>
      </c>
      <c r="C556" s="4" t="s">
        <v>30</v>
      </c>
      <c r="D556" s="32" t="s">
        <v>2</v>
      </c>
      <c r="F556" s="2">
        <v>-6.3</v>
      </c>
      <c r="G556" s="13">
        <v>900</v>
      </c>
      <c r="H556" s="5">
        <f t="shared" si="10"/>
        <v>-5670</v>
      </c>
    </row>
    <row r="557" spans="1:8" x14ac:dyDescent="0.25">
      <c r="A557" s="27">
        <v>45834</v>
      </c>
      <c r="B557" s="3" t="s">
        <v>161</v>
      </c>
      <c r="C557" s="4" t="s">
        <v>30</v>
      </c>
      <c r="D557" s="32" t="s">
        <v>0</v>
      </c>
      <c r="F557" s="2">
        <v>-4.5</v>
      </c>
      <c r="G557" s="33">
        <v>2800</v>
      </c>
      <c r="H557" s="5">
        <f t="shared" si="10"/>
        <v>-12600</v>
      </c>
    </row>
    <row r="558" spans="1:8" ht="12" hidden="1" customHeight="1" x14ac:dyDescent="0.25">
      <c r="A558" s="27">
        <v>45835</v>
      </c>
      <c r="B558" s="3" t="s">
        <v>162</v>
      </c>
      <c r="C558" s="4" t="s">
        <v>30</v>
      </c>
      <c r="D558" s="32" t="s">
        <v>15</v>
      </c>
      <c r="F558" s="2">
        <v>-20</v>
      </c>
      <c r="G558" s="13">
        <v>670</v>
      </c>
      <c r="H558" s="5">
        <f t="shared" si="10"/>
        <v>-13400</v>
      </c>
    </row>
    <row r="559" spans="1:8" x14ac:dyDescent="0.25">
      <c r="A559" s="27">
        <v>45835</v>
      </c>
      <c r="B559" s="3" t="s">
        <v>162</v>
      </c>
      <c r="C559" s="4" t="s">
        <v>30</v>
      </c>
      <c r="D559" s="34" t="s">
        <v>0</v>
      </c>
      <c r="E559" s="14"/>
      <c r="F559" s="11">
        <v>-3</v>
      </c>
      <c r="G559" s="22">
        <v>3400</v>
      </c>
      <c r="H559" s="5">
        <f t="shared" si="10"/>
        <v>-10200</v>
      </c>
    </row>
    <row r="560" spans="1:8" ht="12" hidden="1" customHeight="1" x14ac:dyDescent="0.25">
      <c r="A560" s="27">
        <v>45835</v>
      </c>
      <c r="B560" s="3" t="s">
        <v>162</v>
      </c>
      <c r="C560" s="4" t="s">
        <v>30</v>
      </c>
      <c r="D560" s="9" t="s">
        <v>5</v>
      </c>
      <c r="F560" s="2">
        <v>-1.8</v>
      </c>
      <c r="G560" s="13">
        <v>2200</v>
      </c>
      <c r="H560" s="5">
        <f t="shared" si="10"/>
        <v>-3960</v>
      </c>
    </row>
    <row r="561" spans="1:8" ht="12" hidden="1" customHeight="1" x14ac:dyDescent="0.25">
      <c r="A561" s="27">
        <v>45836</v>
      </c>
      <c r="B561" s="3" t="s">
        <v>163</v>
      </c>
      <c r="C561" s="4" t="s">
        <v>30</v>
      </c>
      <c r="D561" s="34" t="s">
        <v>15</v>
      </c>
      <c r="E561" s="12"/>
      <c r="F561" s="11">
        <v>-20</v>
      </c>
      <c r="G561" s="11">
        <v>600</v>
      </c>
      <c r="H561" s="5">
        <f t="shared" si="10"/>
        <v>-12000</v>
      </c>
    </row>
    <row r="562" spans="1:8" ht="12" hidden="1" customHeight="1" x14ac:dyDescent="0.25">
      <c r="A562" s="27">
        <v>45836</v>
      </c>
      <c r="B562" s="3" t="s">
        <v>163</v>
      </c>
      <c r="C562" s="4" t="s">
        <v>30</v>
      </c>
      <c r="D562" s="32" t="s">
        <v>15</v>
      </c>
      <c r="E562" s="14"/>
      <c r="F562" s="11">
        <v>-20</v>
      </c>
      <c r="G562" s="11">
        <v>500</v>
      </c>
      <c r="H562" s="5">
        <f t="shared" si="10"/>
        <v>-10000</v>
      </c>
    </row>
    <row r="563" spans="1:8" ht="12" hidden="1" customHeight="1" x14ac:dyDescent="0.25">
      <c r="A563" s="27"/>
      <c r="C563" s="44"/>
      <c r="H563" s="5"/>
    </row>
    <row r="564" spans="1:8" ht="12" hidden="1" customHeight="1" x14ac:dyDescent="0.25">
      <c r="A564" s="27"/>
      <c r="C564" s="44"/>
      <c r="H564" s="5"/>
    </row>
    <row r="565" spans="1:8" ht="12" hidden="1" customHeight="1" x14ac:dyDescent="0.25">
      <c r="A565" s="27"/>
      <c r="C565" s="44"/>
      <c r="H565" s="5"/>
    </row>
    <row r="566" spans="1:8" ht="12" hidden="1" customHeight="1" x14ac:dyDescent="0.25">
      <c r="A566" s="27"/>
      <c r="C566" s="44"/>
      <c r="H566" s="5"/>
    </row>
    <row r="567" spans="1:8" ht="12" hidden="1" customHeight="1" x14ac:dyDescent="0.25">
      <c r="A567" s="27"/>
      <c r="C567" s="4"/>
      <c r="D567" s="19"/>
      <c r="E567" s="42"/>
      <c r="H567" s="5"/>
    </row>
    <row r="568" spans="1:8" ht="12" hidden="1" customHeight="1" x14ac:dyDescent="0.25">
      <c r="A568" s="27"/>
      <c r="C568" s="4"/>
      <c r="E568" s="12"/>
      <c r="F568" s="8"/>
      <c r="G568" s="31"/>
      <c r="H568" s="5"/>
    </row>
    <row r="569" spans="1:8" ht="12" hidden="1" customHeight="1" x14ac:dyDescent="0.25">
      <c r="A569" s="27"/>
      <c r="C569" s="4"/>
      <c r="D569" s="29"/>
      <c r="E569" s="12"/>
      <c r="F569" s="8"/>
      <c r="G569" s="31"/>
      <c r="H569" s="5"/>
    </row>
    <row r="570" spans="1:8" ht="12" hidden="1" customHeight="1" x14ac:dyDescent="0.25">
      <c r="A570" s="27"/>
      <c r="C570" s="4"/>
      <c r="H570" s="5"/>
    </row>
    <row r="571" spans="1:8" ht="12" hidden="1" customHeight="1" x14ac:dyDescent="0.25">
      <c r="A571" s="27"/>
      <c r="C571" s="4"/>
      <c r="H571" s="5"/>
    </row>
    <row r="572" spans="1:8" ht="12" hidden="1" customHeight="1" x14ac:dyDescent="0.25">
      <c r="A572" s="27"/>
      <c r="C572" s="4"/>
      <c r="D572" s="9"/>
      <c r="H572" s="5"/>
    </row>
    <row r="573" spans="1:8" ht="12" hidden="1" customHeight="1" x14ac:dyDescent="0.25">
      <c r="A573" s="27"/>
      <c r="C573" s="4"/>
      <c r="D573" s="34"/>
      <c r="E573" s="14"/>
      <c r="H573" s="5"/>
    </row>
    <row r="574" spans="1:8" ht="12" hidden="1" customHeight="1" x14ac:dyDescent="0.25">
      <c r="A574" s="27"/>
      <c r="C574" s="4"/>
      <c r="H574" s="5"/>
    </row>
    <row r="575" spans="1:8" ht="12" hidden="1" customHeight="1" x14ac:dyDescent="0.25">
      <c r="A575" s="27"/>
      <c r="C575" s="4"/>
      <c r="H575" s="5"/>
    </row>
    <row r="576" spans="1:8" ht="12" hidden="1" customHeight="1" x14ac:dyDescent="0.25">
      <c r="A576" s="27"/>
      <c r="C576" s="4"/>
      <c r="H576" s="5"/>
    </row>
    <row r="577" spans="1:8" ht="12" hidden="1" customHeight="1" x14ac:dyDescent="0.25">
      <c r="A577" s="27"/>
      <c r="H577" s="5"/>
    </row>
    <row r="578" spans="1:8" ht="12" hidden="1" customHeight="1" x14ac:dyDescent="0.25">
      <c r="A578" s="27"/>
      <c r="H578" s="5"/>
    </row>
    <row r="579" spans="1:8" ht="12" hidden="1" customHeight="1" x14ac:dyDescent="0.25">
      <c r="A579" s="27"/>
      <c r="C579" s="44"/>
      <c r="H579" s="5"/>
    </row>
    <row r="580" spans="1:8" ht="12" hidden="1" customHeight="1" x14ac:dyDescent="0.25">
      <c r="A580" s="27"/>
      <c r="C580" s="44"/>
      <c r="H580" s="5"/>
    </row>
    <row r="581" spans="1:8" ht="12" hidden="1" customHeight="1" x14ac:dyDescent="0.25">
      <c r="A581" s="27"/>
      <c r="C581" s="44"/>
      <c r="H581" s="5"/>
    </row>
    <row r="582" spans="1:8" ht="12" hidden="1" customHeight="1" x14ac:dyDescent="0.25">
      <c r="A582" s="27"/>
      <c r="C582" s="44"/>
      <c r="H582" s="5"/>
    </row>
    <row r="583" spans="1:8" ht="12" hidden="1" customHeight="1" x14ac:dyDescent="0.25">
      <c r="A583" s="27"/>
      <c r="C583" s="44"/>
      <c r="H583" s="5"/>
    </row>
    <row r="584" spans="1:8" ht="12" hidden="1" customHeight="1" x14ac:dyDescent="0.25">
      <c r="A584" s="27"/>
      <c r="C584" s="44"/>
      <c r="H584" s="5"/>
    </row>
    <row r="585" spans="1:8" ht="12" hidden="1" customHeight="1" x14ac:dyDescent="0.25">
      <c r="A585" s="27"/>
      <c r="C585" s="4"/>
      <c r="E585" s="3"/>
      <c r="H585" s="5"/>
    </row>
    <row r="586" spans="1:8" ht="12" hidden="1" customHeight="1" x14ac:dyDescent="0.25">
      <c r="A586" s="27"/>
      <c r="C586" s="4"/>
      <c r="D586" s="9"/>
      <c r="H586" s="5"/>
    </row>
    <row r="587" spans="1:8" ht="12" hidden="1" customHeight="1" x14ac:dyDescent="0.25">
      <c r="A587" s="27"/>
      <c r="C587" s="4"/>
      <c r="D587" s="9"/>
      <c r="F587" s="7"/>
      <c r="H587" s="5"/>
    </row>
    <row r="588" spans="1:8" ht="12" hidden="1" customHeight="1" x14ac:dyDescent="0.25">
      <c r="A588" s="27"/>
      <c r="C588" s="4"/>
      <c r="H588" s="5"/>
    </row>
    <row r="589" spans="1:8" ht="12" hidden="1" customHeight="1" x14ac:dyDescent="0.25">
      <c r="A589" s="27"/>
      <c r="C589" s="44"/>
      <c r="H589" s="5"/>
    </row>
    <row r="590" spans="1:8" ht="12" hidden="1" customHeight="1" x14ac:dyDescent="0.25">
      <c r="A590" s="27"/>
      <c r="C590" s="44"/>
      <c r="E590" s="30"/>
      <c r="F590" s="31"/>
      <c r="G590" s="31"/>
      <c r="H590" s="5"/>
    </row>
    <row r="591" spans="1:8" ht="12" hidden="1" customHeight="1" x14ac:dyDescent="0.25">
      <c r="A591" s="27"/>
      <c r="C591" s="44"/>
      <c r="F591" s="7"/>
      <c r="H591" s="5"/>
    </row>
    <row r="592" spans="1:8" ht="12" hidden="1" customHeight="1" x14ac:dyDescent="0.25">
      <c r="A592" s="27"/>
      <c r="H592" s="5"/>
    </row>
    <row r="593" spans="1:8" ht="12" hidden="1" customHeight="1" x14ac:dyDescent="0.25">
      <c r="A593" s="27"/>
      <c r="H593" s="5"/>
    </row>
    <row r="594" spans="1:8" ht="12" hidden="1" customHeight="1" x14ac:dyDescent="0.25">
      <c r="A594" s="27"/>
      <c r="H594" s="5"/>
    </row>
    <row r="595" spans="1:8" ht="12" hidden="1" customHeight="1" x14ac:dyDescent="0.25">
      <c r="A595" s="27"/>
      <c r="H595" s="5"/>
    </row>
    <row r="596" spans="1:8" ht="12" hidden="1" customHeight="1" x14ac:dyDescent="0.25">
      <c r="A596" s="27"/>
      <c r="H596" s="5"/>
    </row>
    <row r="597" spans="1:8" ht="12" hidden="1" customHeight="1" x14ac:dyDescent="0.25">
      <c r="A597" s="27"/>
      <c r="H597" s="5"/>
    </row>
    <row r="598" spans="1:8" ht="12" hidden="1" customHeight="1" x14ac:dyDescent="0.25">
      <c r="A598" s="27"/>
      <c r="H598" s="5"/>
    </row>
    <row r="599" spans="1:8" ht="12" hidden="1" customHeight="1" x14ac:dyDescent="0.25">
      <c r="A599" s="27"/>
      <c r="H599" s="5"/>
    </row>
    <row r="600" spans="1:8" ht="12" hidden="1" customHeight="1" x14ac:dyDescent="0.25">
      <c r="A600" s="27"/>
      <c r="D600" s="34"/>
      <c r="E600" s="14"/>
      <c r="F600" s="11"/>
      <c r="G600" s="11"/>
      <c r="H600" s="5"/>
    </row>
    <row r="601" spans="1:8" ht="12" hidden="1" customHeight="1" x14ac:dyDescent="0.25">
      <c r="A601" s="27"/>
      <c r="H601" s="5"/>
    </row>
    <row r="602" spans="1:8" ht="12" hidden="1" customHeight="1" x14ac:dyDescent="0.25">
      <c r="A602" s="27"/>
      <c r="D602" s="29"/>
      <c r="H602" s="5"/>
    </row>
    <row r="603" spans="1:8" ht="12" hidden="1" customHeight="1" x14ac:dyDescent="0.25">
      <c r="A603" s="27"/>
      <c r="H603" s="5"/>
    </row>
    <row r="604" spans="1:8" ht="12" hidden="1" customHeight="1" x14ac:dyDescent="0.25">
      <c r="A604" s="27"/>
      <c r="D604" s="9"/>
      <c r="H604" s="5"/>
    </row>
    <row r="605" spans="1:8" ht="12" hidden="1" customHeight="1" x14ac:dyDescent="0.25">
      <c r="A605" s="27"/>
      <c r="D605" s="9"/>
      <c r="F605" s="7"/>
      <c r="H605" s="5"/>
    </row>
    <row r="606" spans="1:8" ht="12" hidden="1" customHeight="1" x14ac:dyDescent="0.25">
      <c r="A606" s="27"/>
      <c r="D606" s="34"/>
      <c r="E606" s="30"/>
      <c r="F606" s="8"/>
      <c r="G606" s="11"/>
      <c r="H606" s="5"/>
    </row>
    <row r="607" spans="1:8" ht="12" hidden="1" customHeight="1" x14ac:dyDescent="0.25">
      <c r="A607" s="27"/>
      <c r="C607" s="44"/>
      <c r="H607" s="5"/>
    </row>
    <row r="608" spans="1:8" ht="12" hidden="1" customHeight="1" x14ac:dyDescent="0.25">
      <c r="A608" s="27"/>
      <c r="C608" s="44"/>
      <c r="H608" s="5"/>
    </row>
    <row r="609" spans="1:8" ht="12" hidden="1" customHeight="1" x14ac:dyDescent="0.25">
      <c r="A609" s="27"/>
      <c r="C609" s="44"/>
      <c r="H609" s="5"/>
    </row>
    <row r="610" spans="1:8" ht="12" hidden="1" customHeight="1" x14ac:dyDescent="0.25">
      <c r="A610" s="27"/>
      <c r="C610" s="44"/>
      <c r="H610" s="5"/>
    </row>
    <row r="611" spans="1:8" ht="12" hidden="1" customHeight="1" x14ac:dyDescent="0.25">
      <c r="A611" s="27"/>
      <c r="C611" s="44"/>
      <c r="H611" s="5"/>
    </row>
    <row r="612" spans="1:8" ht="12" hidden="1" customHeight="1" x14ac:dyDescent="0.25">
      <c r="A612" s="27"/>
      <c r="C612" s="44"/>
      <c r="H612" s="5"/>
    </row>
    <row r="613" spans="1:8" ht="12" hidden="1" customHeight="1" x14ac:dyDescent="0.25">
      <c r="A613" s="27"/>
      <c r="C613" s="44"/>
      <c r="H613" s="5"/>
    </row>
    <row r="614" spans="1:8" ht="12" hidden="1" customHeight="1" x14ac:dyDescent="0.25">
      <c r="A614" s="27"/>
      <c r="C614" s="44"/>
      <c r="D614" s="34"/>
      <c r="H614" s="5"/>
    </row>
    <row r="615" spans="1:8" ht="12" hidden="1" customHeight="1" x14ac:dyDescent="0.25">
      <c r="A615" s="27"/>
      <c r="C615" s="44"/>
      <c r="E615" s="14"/>
      <c r="F615" s="11"/>
      <c r="G615" s="11"/>
      <c r="H615" s="5"/>
    </row>
    <row r="616" spans="1:8" ht="12" hidden="1" customHeight="1" x14ac:dyDescent="0.25">
      <c r="A616" s="27"/>
      <c r="C616" s="44"/>
      <c r="H616" s="5"/>
    </row>
    <row r="617" spans="1:8" ht="12" hidden="1" customHeight="1" x14ac:dyDescent="0.25">
      <c r="A617" s="27"/>
      <c r="C617" s="44"/>
    </row>
    <row r="618" spans="1:8" ht="12" hidden="1" customHeight="1" x14ac:dyDescent="0.25">
      <c r="A618" s="27"/>
      <c r="C618" s="44"/>
    </row>
    <row r="619" spans="1:8" x14ac:dyDescent="0.25">
      <c r="A619" s="27"/>
      <c r="C619" s="44"/>
    </row>
    <row r="620" spans="1:8" x14ac:dyDescent="0.25">
      <c r="A620" s="27"/>
      <c r="C620" s="44"/>
    </row>
    <row r="621" spans="1:8" x14ac:dyDescent="0.25">
      <c r="A621" s="27"/>
      <c r="C621" s="44"/>
    </row>
    <row r="622" spans="1:8" x14ac:dyDescent="0.25">
      <c r="A622" s="27"/>
      <c r="C622" s="44"/>
    </row>
    <row r="623" spans="1:8" x14ac:dyDescent="0.25">
      <c r="A623" s="27"/>
      <c r="C623" s="44"/>
    </row>
    <row r="624" spans="1:8" x14ac:dyDescent="0.25">
      <c r="A624" s="27"/>
      <c r="C624" s="44"/>
    </row>
    <row r="625" spans="1:3" x14ac:dyDescent="0.25">
      <c r="A625" s="27"/>
      <c r="C625" s="44"/>
    </row>
    <row r="626" spans="1:3" x14ac:dyDescent="0.25">
      <c r="A626" s="27"/>
      <c r="C626" s="44"/>
    </row>
    <row r="627" spans="1:3" x14ac:dyDescent="0.25">
      <c r="A627" s="27"/>
      <c r="C627" s="44"/>
    </row>
    <row r="628" spans="1:3" x14ac:dyDescent="0.25">
      <c r="A628" s="27"/>
      <c r="C628" s="44"/>
    </row>
    <row r="629" spans="1:3" x14ac:dyDescent="0.25">
      <c r="A629" s="27"/>
      <c r="C629" s="44"/>
    </row>
    <row r="630" spans="1:3" x14ac:dyDescent="0.25">
      <c r="A630" s="27"/>
      <c r="C630" s="44"/>
    </row>
    <row r="631" spans="1:3" x14ac:dyDescent="0.25">
      <c r="A631" s="27"/>
      <c r="C631" s="44"/>
    </row>
    <row r="632" spans="1:3" x14ac:dyDescent="0.25">
      <c r="A632" s="27"/>
      <c r="C632" s="44"/>
    </row>
    <row r="633" spans="1:3" x14ac:dyDescent="0.25">
      <c r="A633" s="27"/>
      <c r="C633" s="44"/>
    </row>
    <row r="634" spans="1:3" x14ac:dyDescent="0.25">
      <c r="A634" s="27"/>
      <c r="C634" s="44"/>
    </row>
    <row r="635" spans="1:3" x14ac:dyDescent="0.25">
      <c r="A635" s="27"/>
      <c r="C635" s="44"/>
    </row>
    <row r="636" spans="1:3" x14ac:dyDescent="0.25">
      <c r="A636" s="27"/>
      <c r="C636" s="44"/>
    </row>
    <row r="637" spans="1:3" x14ac:dyDescent="0.25">
      <c r="A637" s="27"/>
      <c r="C637" s="44"/>
    </row>
    <row r="638" spans="1:3" x14ac:dyDescent="0.25">
      <c r="A638" s="27"/>
      <c r="C638" s="44"/>
    </row>
    <row r="639" spans="1:3" x14ac:dyDescent="0.25">
      <c r="A639" s="27"/>
      <c r="C639" s="44"/>
    </row>
    <row r="640" spans="1:3" x14ac:dyDescent="0.25">
      <c r="A640" s="27"/>
      <c r="C640" s="44"/>
    </row>
    <row r="641" spans="1:8" x14ac:dyDescent="0.25">
      <c r="A641" s="27"/>
      <c r="C641" s="44"/>
    </row>
    <row r="642" spans="1:8" x14ac:dyDescent="0.25">
      <c r="A642" s="27"/>
      <c r="C642" s="44"/>
    </row>
    <row r="643" spans="1:8" x14ac:dyDescent="0.25">
      <c r="A643" s="27"/>
      <c r="C643" s="44"/>
    </row>
    <row r="644" spans="1:8" x14ac:dyDescent="0.25">
      <c r="A644" s="27"/>
      <c r="C644" s="44"/>
    </row>
    <row r="645" spans="1:8" x14ac:dyDescent="0.25">
      <c r="A645" s="27"/>
      <c r="C645" s="44"/>
    </row>
    <row r="646" spans="1:8" x14ac:dyDescent="0.25">
      <c r="A646" s="27"/>
      <c r="C646" s="44"/>
    </row>
    <row r="647" spans="1:8" x14ac:dyDescent="0.25">
      <c r="A647" s="27"/>
      <c r="C647" s="44"/>
    </row>
    <row r="648" spans="1:8" x14ac:dyDescent="0.25">
      <c r="A648" s="27"/>
      <c r="C648" s="44"/>
    </row>
    <row r="649" spans="1:8" x14ac:dyDescent="0.25">
      <c r="A649" s="27"/>
      <c r="C649" s="44"/>
      <c r="D649" s="42"/>
      <c r="E649" s="42"/>
      <c r="F649" s="42"/>
      <c r="G649" s="42"/>
      <c r="H649" s="42"/>
    </row>
    <row r="650" spans="1:8" x14ac:dyDescent="0.25">
      <c r="A650" s="27"/>
      <c r="C650" s="44"/>
      <c r="D650" s="42"/>
      <c r="E650" s="42"/>
      <c r="F650" s="42"/>
      <c r="G650" s="42"/>
      <c r="H650" s="42"/>
    </row>
    <row r="651" spans="1:8" x14ac:dyDescent="0.25">
      <c r="A651" s="27"/>
      <c r="C651" s="44"/>
      <c r="D651" s="42"/>
      <c r="E651" s="42"/>
      <c r="F651" s="42"/>
      <c r="G651" s="42"/>
      <c r="H651" s="42"/>
    </row>
    <row r="652" spans="1:8" x14ac:dyDescent="0.25">
      <c r="A652" s="27"/>
      <c r="C652" s="44"/>
      <c r="D652" s="42"/>
      <c r="E652" s="42"/>
      <c r="F652" s="42"/>
      <c r="G652" s="42"/>
      <c r="H652" s="42"/>
    </row>
    <row r="653" spans="1:8" x14ac:dyDescent="0.25">
      <c r="A653" s="27"/>
      <c r="C653" s="44"/>
      <c r="D653" s="42"/>
      <c r="E653" s="42"/>
      <c r="F653" s="42"/>
      <c r="G653" s="42"/>
      <c r="H653" s="42"/>
    </row>
    <row r="654" spans="1:8" x14ac:dyDescent="0.25">
      <c r="A654" s="27"/>
      <c r="C654" s="44"/>
      <c r="D654" s="42"/>
      <c r="E654" s="42"/>
      <c r="F654" s="42"/>
      <c r="G654" s="42"/>
      <c r="H654" s="42"/>
    </row>
    <row r="655" spans="1:8" x14ac:dyDescent="0.25">
      <c r="A655" s="27"/>
      <c r="C655" s="44"/>
      <c r="D655" s="42"/>
      <c r="E655" s="42"/>
      <c r="F655" s="42"/>
      <c r="G655" s="42"/>
      <c r="H655" s="42"/>
    </row>
    <row r="656" spans="1:8" x14ac:dyDescent="0.25">
      <c r="A656" s="27"/>
      <c r="C656" s="44"/>
      <c r="D656" s="42"/>
      <c r="E656" s="42"/>
      <c r="F656" s="42"/>
      <c r="G656" s="42"/>
      <c r="H656" s="42"/>
    </row>
    <row r="657" spans="1:8" x14ac:dyDescent="0.25">
      <c r="A657" s="27"/>
      <c r="C657" s="44"/>
      <c r="D657" s="42"/>
      <c r="E657" s="42"/>
      <c r="F657" s="42"/>
      <c r="G657" s="42"/>
      <c r="H657" s="42"/>
    </row>
    <row r="658" spans="1:8" x14ac:dyDescent="0.25">
      <c r="A658" s="27"/>
      <c r="C658" s="44"/>
      <c r="D658" s="42"/>
      <c r="E658" s="42"/>
      <c r="F658" s="42"/>
      <c r="G658" s="42"/>
      <c r="H658" s="42"/>
    </row>
    <row r="659" spans="1:8" x14ac:dyDescent="0.25">
      <c r="A659" s="27"/>
      <c r="C659" s="44"/>
      <c r="D659" s="42"/>
      <c r="E659" s="42"/>
      <c r="F659" s="42"/>
      <c r="G659" s="42"/>
      <c r="H659" s="42"/>
    </row>
    <row r="660" spans="1:8" x14ac:dyDescent="0.25">
      <c r="A660" s="27"/>
      <c r="C660" s="44"/>
      <c r="D660" s="42"/>
      <c r="E660" s="42"/>
      <c r="F660" s="42"/>
      <c r="G660" s="42"/>
      <c r="H660" s="42"/>
    </row>
    <row r="661" spans="1:8" x14ac:dyDescent="0.25">
      <c r="A661" s="27"/>
      <c r="C661" s="44"/>
      <c r="D661" s="42"/>
      <c r="E661" s="42"/>
      <c r="F661" s="42"/>
      <c r="G661" s="42"/>
      <c r="H661" s="42"/>
    </row>
    <row r="662" spans="1:8" x14ac:dyDescent="0.25">
      <c r="A662" s="27"/>
      <c r="C662" s="44"/>
      <c r="D662" s="42"/>
      <c r="E662" s="42"/>
      <c r="F662" s="42"/>
      <c r="G662" s="42"/>
      <c r="H662" s="42"/>
    </row>
    <row r="663" spans="1:8" x14ac:dyDescent="0.25">
      <c r="A663" s="27"/>
      <c r="C663" s="44"/>
      <c r="D663" s="42"/>
      <c r="E663" s="42"/>
      <c r="F663" s="42"/>
      <c r="G663" s="42"/>
      <c r="H663" s="42"/>
    </row>
    <row r="664" spans="1:8" x14ac:dyDescent="0.25">
      <c r="A664" s="27"/>
      <c r="C664" s="44"/>
      <c r="D664" s="42"/>
      <c r="E664" s="42"/>
      <c r="F664" s="42"/>
      <c r="G664" s="42"/>
      <c r="H664" s="42"/>
    </row>
    <row r="665" spans="1:8" x14ac:dyDescent="0.25">
      <c r="A665" s="27"/>
      <c r="C665" s="44"/>
      <c r="D665" s="42"/>
      <c r="E665" s="42"/>
      <c r="F665" s="42"/>
      <c r="G665" s="42"/>
      <c r="H665" s="42"/>
    </row>
    <row r="666" spans="1:8" x14ac:dyDescent="0.25">
      <c r="A666" s="27"/>
      <c r="C666" s="44"/>
      <c r="D666" s="42"/>
      <c r="E666" s="42"/>
      <c r="F666" s="42"/>
      <c r="G666" s="42"/>
      <c r="H666" s="42"/>
    </row>
    <row r="667" spans="1:8" x14ac:dyDescent="0.25">
      <c r="A667" s="27"/>
      <c r="C667" s="44"/>
      <c r="D667" s="42"/>
      <c r="E667" s="42"/>
      <c r="F667" s="42"/>
      <c r="G667" s="42"/>
      <c r="H667" s="42"/>
    </row>
    <row r="668" spans="1:8" x14ac:dyDescent="0.25">
      <c r="A668" s="27"/>
      <c r="C668" s="44"/>
      <c r="D668" s="42"/>
      <c r="E668" s="42"/>
      <c r="F668" s="42"/>
      <c r="G668" s="42"/>
      <c r="H668" s="42"/>
    </row>
    <row r="669" spans="1:8" x14ac:dyDescent="0.25">
      <c r="A669" s="27"/>
      <c r="C669" s="44"/>
      <c r="D669" s="42"/>
      <c r="E669" s="42"/>
      <c r="F669" s="42"/>
      <c r="G669" s="42"/>
      <c r="H669" s="42"/>
    </row>
    <row r="670" spans="1:8" x14ac:dyDescent="0.25">
      <c r="A670" s="27"/>
      <c r="C670" s="44"/>
      <c r="D670" s="42"/>
      <c r="E670" s="42"/>
      <c r="F670" s="42"/>
      <c r="G670" s="42"/>
      <c r="H670" s="42"/>
    </row>
    <row r="671" spans="1:8" x14ac:dyDescent="0.25">
      <c r="A671" s="27"/>
      <c r="C671" s="44"/>
      <c r="D671" s="42"/>
      <c r="E671" s="42"/>
      <c r="F671" s="42"/>
      <c r="G671" s="42"/>
      <c r="H671" s="42"/>
    </row>
    <row r="672" spans="1:8" x14ac:dyDescent="0.25">
      <c r="A672" s="27"/>
      <c r="C672" s="44"/>
      <c r="D672" s="42"/>
      <c r="E672" s="42"/>
      <c r="F672" s="42"/>
      <c r="G672" s="42"/>
      <c r="H672" s="42"/>
    </row>
    <row r="673" spans="1:8" x14ac:dyDescent="0.25">
      <c r="A673" s="27"/>
      <c r="C673" s="44"/>
      <c r="D673" s="42"/>
      <c r="E673" s="42"/>
      <c r="F673" s="42"/>
      <c r="G673" s="42"/>
      <c r="H673" s="42"/>
    </row>
    <row r="674" spans="1:8" x14ac:dyDescent="0.25">
      <c r="A674" s="27"/>
      <c r="C674" s="44"/>
      <c r="D674" s="42"/>
      <c r="E674" s="42"/>
      <c r="F674" s="42"/>
      <c r="G674" s="42"/>
      <c r="H674" s="42"/>
    </row>
    <row r="675" spans="1:8" x14ac:dyDescent="0.25">
      <c r="A675" s="45"/>
      <c r="B675" s="20"/>
      <c r="C675" s="6"/>
      <c r="D675" s="42"/>
      <c r="E675" s="42"/>
      <c r="F675" s="42"/>
      <c r="G675" s="42"/>
      <c r="H675" s="42"/>
    </row>
    <row r="676" spans="1:8" x14ac:dyDescent="0.25">
      <c r="D676" s="42"/>
      <c r="E676" s="42"/>
      <c r="F676" s="42"/>
      <c r="G676" s="42"/>
      <c r="H676" s="42"/>
    </row>
    <row r="677" spans="1:8" x14ac:dyDescent="0.25">
      <c r="D677" s="42"/>
      <c r="E677" s="42"/>
      <c r="F677" s="42"/>
      <c r="G677" s="42"/>
      <c r="H677" s="42"/>
    </row>
    <row r="678" spans="1:8" x14ac:dyDescent="0.25">
      <c r="D678" s="42"/>
      <c r="E678" s="42"/>
      <c r="F678" s="42"/>
      <c r="G678" s="42"/>
      <c r="H678" s="42"/>
    </row>
    <row r="679" spans="1:8" x14ac:dyDescent="0.25">
      <c r="D679" s="42"/>
      <c r="E679" s="42"/>
      <c r="F679" s="42"/>
      <c r="G679" s="42"/>
      <c r="H679" s="42"/>
    </row>
    <row r="680" spans="1:8" x14ac:dyDescent="0.25">
      <c r="D680" s="42"/>
      <c r="E680" s="42"/>
      <c r="F680" s="42"/>
      <c r="G680" s="42"/>
      <c r="H680" s="42"/>
    </row>
    <row r="681" spans="1:8" x14ac:dyDescent="0.25">
      <c r="D681" s="42"/>
      <c r="E681" s="42"/>
      <c r="F681" s="42"/>
      <c r="G681" s="42"/>
      <c r="H681" s="42"/>
    </row>
    <row r="682" spans="1:8" x14ac:dyDescent="0.25">
      <c r="D682" s="42"/>
      <c r="E682" s="42"/>
      <c r="F682" s="42"/>
      <c r="G682" s="42"/>
      <c r="H682" s="42"/>
    </row>
    <row r="683" spans="1:8" x14ac:dyDescent="0.25">
      <c r="D683" s="42"/>
      <c r="E683" s="42"/>
      <c r="F683" s="42"/>
      <c r="G683" s="42"/>
      <c r="H683" s="42"/>
    </row>
    <row r="684" spans="1:8" x14ac:dyDescent="0.25">
      <c r="D684" s="42"/>
      <c r="E684" s="42"/>
      <c r="F684" s="42"/>
      <c r="G684" s="42"/>
      <c r="H684" s="42"/>
    </row>
    <row r="685" spans="1:8" x14ac:dyDescent="0.25">
      <c r="D685" s="42"/>
      <c r="E685" s="42"/>
      <c r="F685" s="42"/>
      <c r="G685" s="42"/>
      <c r="H685" s="42"/>
    </row>
    <row r="686" spans="1:8" x14ac:dyDescent="0.25">
      <c r="D686" s="42"/>
      <c r="E686" s="42"/>
      <c r="F686" s="42"/>
      <c r="G686" s="42"/>
      <c r="H686" s="42"/>
    </row>
    <row r="687" spans="1:8" x14ac:dyDescent="0.25">
      <c r="D687" s="42"/>
      <c r="E687" s="42"/>
      <c r="F687" s="42"/>
      <c r="G687" s="42"/>
      <c r="H687" s="42"/>
    </row>
    <row r="688" spans="1:8" x14ac:dyDescent="0.25">
      <c r="D688" s="42"/>
      <c r="E688" s="42"/>
      <c r="F688" s="42"/>
      <c r="G688" s="42"/>
      <c r="H688" s="42"/>
    </row>
    <row r="689" spans="4:8" x14ac:dyDescent="0.25">
      <c r="D689" s="42"/>
      <c r="E689" s="42"/>
      <c r="F689" s="42"/>
      <c r="G689" s="42"/>
      <c r="H689" s="42"/>
    </row>
    <row r="690" spans="4:8" x14ac:dyDescent="0.25">
      <c r="D690" s="42"/>
      <c r="E690" s="42"/>
      <c r="F690" s="42"/>
      <c r="G690" s="42"/>
      <c r="H690" s="42"/>
    </row>
    <row r="691" spans="4:8" x14ac:dyDescent="0.25">
      <c r="D691" s="42"/>
      <c r="E691" s="42"/>
      <c r="F691" s="42"/>
      <c r="G691" s="42"/>
      <c r="H691" s="42"/>
    </row>
    <row r="692" spans="4:8" x14ac:dyDescent="0.25">
      <c r="D692" s="42"/>
      <c r="E692" s="42"/>
      <c r="F692" s="42"/>
      <c r="G692" s="42"/>
      <c r="H692" s="42"/>
    </row>
    <row r="693" spans="4:8" x14ac:dyDescent="0.25">
      <c r="D693" s="42"/>
      <c r="E693" s="42"/>
      <c r="F693" s="42"/>
      <c r="G693" s="42"/>
      <c r="H693" s="42"/>
    </row>
    <row r="694" spans="4:8" x14ac:dyDescent="0.25">
      <c r="D694" s="42"/>
      <c r="E694" s="42"/>
      <c r="F694" s="42"/>
      <c r="G694" s="42"/>
      <c r="H694" s="42"/>
    </row>
    <row r="695" spans="4:8" x14ac:dyDescent="0.25">
      <c r="D695" s="42"/>
      <c r="E695" s="42"/>
      <c r="F695" s="42"/>
      <c r="G695" s="42"/>
      <c r="H695" s="42"/>
    </row>
    <row r="696" spans="4:8" x14ac:dyDescent="0.25">
      <c r="D696" s="42"/>
      <c r="E696" s="42"/>
      <c r="F696" s="42"/>
      <c r="G696" s="42"/>
      <c r="H696" s="42"/>
    </row>
    <row r="697" spans="4:8" x14ac:dyDescent="0.25">
      <c r="D697" s="42"/>
      <c r="E697" s="42"/>
      <c r="F697" s="42"/>
      <c r="G697" s="42"/>
      <c r="H697" s="42"/>
    </row>
    <row r="698" spans="4:8" x14ac:dyDescent="0.25">
      <c r="D698" s="42"/>
      <c r="E698" s="42"/>
      <c r="F698" s="42"/>
      <c r="G698" s="42"/>
      <c r="H698" s="42"/>
    </row>
    <row r="699" spans="4:8" x14ac:dyDescent="0.25">
      <c r="D699" s="42"/>
      <c r="E699" s="42"/>
      <c r="F699" s="42"/>
      <c r="G699" s="42"/>
      <c r="H699" s="42"/>
    </row>
    <row r="700" spans="4:8" x14ac:dyDescent="0.25">
      <c r="D700" s="42"/>
      <c r="E700" s="42"/>
      <c r="F700" s="42"/>
      <c r="G700" s="42"/>
      <c r="H700" s="42"/>
    </row>
    <row r="701" spans="4:8" x14ac:dyDescent="0.25">
      <c r="D701" s="42"/>
      <c r="E701" s="42"/>
      <c r="F701" s="42"/>
      <c r="G701" s="42"/>
      <c r="H701" s="42"/>
    </row>
    <row r="702" spans="4:8" x14ac:dyDescent="0.25">
      <c r="D702" s="42"/>
      <c r="E702" s="42"/>
      <c r="F702" s="42"/>
      <c r="G702" s="42"/>
      <c r="H702" s="42"/>
    </row>
    <row r="703" spans="4:8" x14ac:dyDescent="0.25">
      <c r="D703" s="42"/>
      <c r="E703" s="42"/>
      <c r="F703" s="42"/>
      <c r="G703" s="42"/>
      <c r="H703" s="42"/>
    </row>
    <row r="704" spans="4:8" x14ac:dyDescent="0.25">
      <c r="D704" s="42"/>
      <c r="E704" s="42"/>
      <c r="F704" s="42"/>
      <c r="G704" s="42"/>
      <c r="H704" s="42"/>
    </row>
    <row r="705" spans="4:8" x14ac:dyDescent="0.25">
      <c r="D705" s="42"/>
      <c r="E705" s="42"/>
      <c r="F705" s="42"/>
      <c r="G705" s="42"/>
      <c r="H705" s="42"/>
    </row>
    <row r="706" spans="4:8" x14ac:dyDescent="0.25">
      <c r="D706" s="42"/>
      <c r="E706" s="42"/>
      <c r="F706" s="42"/>
      <c r="G706" s="42"/>
      <c r="H706" s="42"/>
    </row>
    <row r="707" spans="4:8" x14ac:dyDescent="0.25">
      <c r="D707" s="42"/>
      <c r="E707" s="42"/>
      <c r="F707" s="42"/>
      <c r="G707" s="42"/>
      <c r="H707" s="42"/>
    </row>
    <row r="708" spans="4:8" x14ac:dyDescent="0.25">
      <c r="D708" s="42"/>
      <c r="E708" s="42"/>
      <c r="F708" s="42"/>
      <c r="G708" s="42"/>
      <c r="H708" s="42"/>
    </row>
    <row r="709" spans="4:8" x14ac:dyDescent="0.25">
      <c r="D709" s="42"/>
      <c r="E709" s="42"/>
      <c r="F709" s="42"/>
      <c r="G709" s="42"/>
      <c r="H709" s="42"/>
    </row>
    <row r="710" spans="4:8" x14ac:dyDescent="0.25">
      <c r="D710" s="42"/>
      <c r="E710" s="42"/>
      <c r="F710" s="42"/>
      <c r="G710" s="42"/>
      <c r="H710" s="42"/>
    </row>
    <row r="711" spans="4:8" x14ac:dyDescent="0.25">
      <c r="D711" s="42"/>
      <c r="E711" s="42"/>
      <c r="F711" s="42"/>
      <c r="G711" s="42"/>
      <c r="H711" s="42"/>
    </row>
    <row r="712" spans="4:8" x14ac:dyDescent="0.25">
      <c r="D712" s="42"/>
      <c r="E712" s="42"/>
      <c r="F712" s="42"/>
      <c r="G712" s="42"/>
      <c r="H712" s="42"/>
    </row>
    <row r="713" spans="4:8" x14ac:dyDescent="0.25">
      <c r="D713" s="42"/>
      <c r="E713" s="42"/>
      <c r="F713" s="42"/>
      <c r="G713" s="42"/>
      <c r="H713" s="42"/>
    </row>
    <row r="714" spans="4:8" x14ac:dyDescent="0.25">
      <c r="D714" s="42"/>
      <c r="E714" s="42"/>
      <c r="F714" s="42"/>
      <c r="G714" s="42"/>
      <c r="H714" s="42"/>
    </row>
    <row r="715" spans="4:8" x14ac:dyDescent="0.25">
      <c r="D715" s="42"/>
      <c r="E715" s="42"/>
      <c r="F715" s="42"/>
      <c r="G715" s="42"/>
      <c r="H715" s="42"/>
    </row>
    <row r="716" spans="4:8" x14ac:dyDescent="0.25">
      <c r="D716" s="42"/>
      <c r="E716" s="42"/>
      <c r="F716" s="42"/>
      <c r="G716" s="42"/>
      <c r="H716" s="42"/>
    </row>
    <row r="717" spans="4:8" x14ac:dyDescent="0.25">
      <c r="D717" s="42"/>
      <c r="E717" s="42"/>
      <c r="F717" s="42"/>
      <c r="G717" s="42"/>
      <c r="H717" s="42"/>
    </row>
    <row r="718" spans="4:8" x14ac:dyDescent="0.25">
      <c r="D718" s="42"/>
      <c r="E718" s="42"/>
      <c r="F718" s="42"/>
      <c r="G718" s="42"/>
      <c r="H718" s="42"/>
    </row>
  </sheetData>
  <autoFilter ref="A1:H618">
    <filterColumn colId="0">
      <customFilters>
        <customFilter operator="notEqual" val=" "/>
      </customFilters>
    </filterColumn>
    <filterColumn colId="3">
      <filters>
        <filter val="BARBUN"/>
      </filters>
    </filterColumn>
    <sortState ref="A13:I447">
      <sortCondition descending="1" ref="G4:G624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4" name="Button 16">
              <controlPr defaultSize="0" print="0" autoFill="0" autoPict="0" macro="[0]!Düğme16_Tıkla">
                <anchor moveWithCells="1">
                  <from>
                    <xdr:col>10</xdr:col>
                    <xdr:colOff>533400</xdr:colOff>
                    <xdr:row>4</xdr:row>
                    <xdr:rowOff>144780</xdr:rowOff>
                  </from>
                  <to>
                    <xdr:col>11</xdr:col>
                    <xdr:colOff>502920</xdr:colOff>
                    <xdr:row>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HalMuhasebePc</dc:creator>
  <cp:lastModifiedBy>yetkinPC</cp:lastModifiedBy>
  <dcterms:created xsi:type="dcterms:W3CDTF">2025-07-10T02:45:03Z</dcterms:created>
  <dcterms:modified xsi:type="dcterms:W3CDTF">2025-07-13T03:14:37Z</dcterms:modified>
</cp:coreProperties>
</file>